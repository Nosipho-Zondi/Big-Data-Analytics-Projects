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ata\ORT SA\Training\Excel\Assessment\2025\May - July\"/>
    </mc:Choice>
  </mc:AlternateContent>
  <xr:revisionPtr revIDLastSave="0" documentId="8_{D0FC2305-48E4-4AA6-8E55-89081B16A072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Sheet1" sheetId="8" r:id="rId1"/>
    <sheet name="Sales" sheetId="1" r:id="rId2"/>
    <sheet name="Projects" sheetId="7" r:id="rId3"/>
  </sheets>
  <definedNames>
    <definedName name="solver_adj" localSheetId="2" hidden="1">Projects!$B$2:$B$10,Projects!$D$2:$D$10</definedName>
    <definedName name="solver_cvg" localSheetId="2" hidden="1">"0,0001"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Projects!$C$2:$C$10</definedName>
    <definedName name="solver_lhs2" localSheetId="2" hidden="1">Projects!$D$2:$D$10</definedName>
    <definedName name="solver_lhs3" localSheetId="2" hidden="1">Projects!$E$11</definedName>
    <definedName name="solver_lhs4" localSheetId="2" hidden="1">Projects!$E$2:$E$10</definedName>
    <definedName name="solver_mip" localSheetId="2" hidden="1">2147483647</definedName>
    <definedName name="solver_mni" localSheetId="2" hidden="1">30</definedName>
    <definedName name="solver_mrt" localSheetId="2" hidden="1">"0,075"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4</definedName>
    <definedName name="solver_nwt" localSheetId="2" hidden="1">1</definedName>
    <definedName name="solver_opt" localSheetId="2" hidden="1">Projects!$E$11</definedName>
    <definedName name="solver_pre" localSheetId="2" hidden="1">"0,000001"</definedName>
    <definedName name="solver_rbv" localSheetId="2" hidden="1">2</definedName>
    <definedName name="solver_rel1" localSheetId="2" hidden="1">2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hs1" localSheetId="2" hidden="1">2000</definedName>
    <definedName name="solver_rhs2" localSheetId="2" hidden="1">1000</definedName>
    <definedName name="solver_rhs3" localSheetId="2" hidden="1">65000</definedName>
    <definedName name="solver_rhs4" localSheetId="2" hidden="1">9600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65000</definedName>
    <definedName name="solver_ver" localSheetId="2" hidden="1">3</definedName>
  </definedNames>
  <calcPr calcId="191029"/>
  <pivotCaches>
    <pivotCache cacheId="2" r:id="rId4"/>
  </pivotCaches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2" i="7"/>
  <c r="S23" i="1"/>
  <c r="R23" i="1"/>
  <c r="Q23" i="1"/>
  <c r="P23" i="1"/>
  <c r="O23" i="1"/>
  <c r="N23" i="1"/>
  <c r="M2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2" i="1"/>
  <c r="N5" i="1"/>
  <c r="N8" i="1"/>
  <c r="N3" i="1"/>
  <c r="N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E11" i="7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2" i="1"/>
</calcChain>
</file>

<file path=xl/sharedStrings.xml><?xml version="1.0" encoding="utf-8"?>
<sst xmlns="http://schemas.openxmlformats.org/spreadsheetml/2006/main" count="267" uniqueCount="154">
  <si>
    <t>Quantity</t>
  </si>
  <si>
    <t>Customer_ID</t>
  </si>
  <si>
    <t>Customer_Name</t>
  </si>
  <si>
    <t>Product_ID</t>
  </si>
  <si>
    <t>Date_ID</t>
  </si>
  <si>
    <t>JH</t>
  </si>
  <si>
    <t>LT</t>
  </si>
  <si>
    <t>CT</t>
  </si>
  <si>
    <t>NP</t>
  </si>
  <si>
    <t>DB</t>
  </si>
  <si>
    <t>PT</t>
  </si>
  <si>
    <t>PE</t>
  </si>
  <si>
    <t>MK</t>
  </si>
  <si>
    <t>PL</t>
  </si>
  <si>
    <t>EL</t>
  </si>
  <si>
    <t>NW</t>
  </si>
  <si>
    <t>BF</t>
  </si>
  <si>
    <t>City_Code</t>
  </si>
  <si>
    <t>Sales</t>
  </si>
  <si>
    <t>Product_Price</t>
  </si>
  <si>
    <t>Andile</t>
  </si>
  <si>
    <t>Belinda</t>
  </si>
  <si>
    <t>Cathy</t>
  </si>
  <si>
    <t>Dylan</t>
  </si>
  <si>
    <t>Emery</t>
  </si>
  <si>
    <t>Fatima</t>
  </si>
  <si>
    <t>Gaily</t>
  </si>
  <si>
    <t>Hlope</t>
  </si>
  <si>
    <t>Imran</t>
  </si>
  <si>
    <t>Julia</t>
  </si>
  <si>
    <t>Kuda</t>
  </si>
  <si>
    <t>Lynn</t>
  </si>
  <si>
    <t>Mlungisi</t>
  </si>
  <si>
    <t>Ngubane</t>
  </si>
  <si>
    <t>Otilia</t>
  </si>
  <si>
    <t>Pete</t>
  </si>
  <si>
    <t>Qobani</t>
  </si>
  <si>
    <t>Ramapula</t>
  </si>
  <si>
    <t>Sue</t>
  </si>
  <si>
    <t>Teclar</t>
  </si>
  <si>
    <t>Ulendo</t>
  </si>
  <si>
    <t>Vivian</t>
  </si>
  <si>
    <t>Welly</t>
  </si>
  <si>
    <t>Xolani</t>
  </si>
  <si>
    <t>Yvette</t>
  </si>
  <si>
    <t>Zama</t>
  </si>
  <si>
    <t>Aaron</t>
  </si>
  <si>
    <t>Brooke</t>
  </si>
  <si>
    <t>Cain</t>
  </si>
  <si>
    <t>Dre</t>
  </si>
  <si>
    <t>Ethan</t>
  </si>
  <si>
    <t>Florence</t>
  </si>
  <si>
    <t>Gilian</t>
  </si>
  <si>
    <t>Humbulani</t>
  </si>
  <si>
    <t>Ian</t>
  </si>
  <si>
    <t>Jacob</t>
  </si>
  <si>
    <t>Khosi</t>
  </si>
  <si>
    <t>Lulu</t>
  </si>
  <si>
    <t>Mercy</t>
  </si>
  <si>
    <t>Nhlakanipho</t>
  </si>
  <si>
    <t>Obrey</t>
  </si>
  <si>
    <t>Phule</t>
  </si>
  <si>
    <t>Qulu</t>
  </si>
  <si>
    <t>Reitumetse</t>
  </si>
  <si>
    <t>Slindelo</t>
  </si>
  <si>
    <t>Thulani</t>
  </si>
  <si>
    <t>Uria</t>
  </si>
  <si>
    <t>Valarie</t>
  </si>
  <si>
    <t>Wandiswa</t>
  </si>
  <si>
    <t>Xolele</t>
  </si>
  <si>
    <t>Yvonne</t>
  </si>
  <si>
    <t>Zime</t>
  </si>
  <si>
    <t>Allan</t>
  </si>
  <si>
    <t>Bulelani</t>
  </si>
  <si>
    <t>Cele</t>
  </si>
  <si>
    <t>Debra</t>
  </si>
  <si>
    <t>Ellen</t>
  </si>
  <si>
    <t>Felix</t>
  </si>
  <si>
    <t>George</t>
  </si>
  <si>
    <t>Holomisa</t>
  </si>
  <si>
    <t>Ingrid</t>
  </si>
  <si>
    <t>Jason</t>
  </si>
  <si>
    <t>Khumbulani</t>
  </si>
  <si>
    <t>Lindelani</t>
  </si>
  <si>
    <t>Mabaso</t>
  </si>
  <si>
    <t>Nqubani</t>
  </si>
  <si>
    <t>Onke</t>
  </si>
  <si>
    <t>Precious</t>
  </si>
  <si>
    <t>Qwabe</t>
  </si>
  <si>
    <t>Rulani</t>
  </si>
  <si>
    <t>Simbongile</t>
  </si>
  <si>
    <t>Themba</t>
  </si>
  <si>
    <t>Urthar</t>
  </si>
  <si>
    <t>Vusimusi</t>
  </si>
  <si>
    <t>Wandile</t>
  </si>
  <si>
    <t>Xolisi</t>
  </si>
  <si>
    <t>Yolanda</t>
  </si>
  <si>
    <t>Zinhle</t>
  </si>
  <si>
    <t>Asanda</t>
  </si>
  <si>
    <t>Bhekie</t>
  </si>
  <si>
    <t>Cumani</t>
  </si>
  <si>
    <t>Dennis</t>
  </si>
  <si>
    <t>Emma</t>
  </si>
  <si>
    <t>Fiona</t>
  </si>
  <si>
    <t>Garry</t>
  </si>
  <si>
    <t>Hlalulile</t>
  </si>
  <si>
    <t>Indie</t>
  </si>
  <si>
    <t>Juliana</t>
  </si>
  <si>
    <t>Kheswa</t>
  </si>
  <si>
    <t>Lindokuhle</t>
  </si>
  <si>
    <t>Mandla</t>
  </si>
  <si>
    <t>Oscar</t>
  </si>
  <si>
    <t>Peters</t>
  </si>
  <si>
    <t>Qalani</t>
  </si>
  <si>
    <t>Respina</t>
  </si>
  <si>
    <t>Shozi</t>
  </si>
  <si>
    <t>Thembalami</t>
  </si>
  <si>
    <t>Usofia</t>
  </si>
  <si>
    <t>Vhutshilo</t>
  </si>
  <si>
    <t>Wendy</t>
  </si>
  <si>
    <t>Xulu</t>
  </si>
  <si>
    <t>Yolandie</t>
  </si>
  <si>
    <t>Zuma</t>
  </si>
  <si>
    <t>Customer Record</t>
  </si>
  <si>
    <t>Profit</t>
  </si>
  <si>
    <t>Profit Category</t>
  </si>
  <si>
    <t>Project name</t>
  </si>
  <si>
    <t>Production cost</t>
  </si>
  <si>
    <t>Fixed cost</t>
  </si>
  <si>
    <t>Extra costs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</si>
  <si>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</si>
  <si>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</si>
  <si>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</si>
  <si>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</si>
  <si>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</si>
  <si>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</si>
  <si>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</si>
  <si>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</si>
  <si>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</si>
  <si>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`</t>
  </si>
  <si>
    <t>Selected Customer_ID:</t>
  </si>
  <si>
    <t>Total Sales for Product ID 13:</t>
  </si>
  <si>
    <t>Total Number of Products Sold:</t>
  </si>
  <si>
    <t>Total Cost</t>
  </si>
  <si>
    <t>Cost</t>
  </si>
  <si>
    <t>Overall Total Sales for the 3rd Lowest Product Price:</t>
  </si>
  <si>
    <t>3rd lowest Price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</si>
  <si>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Less than R100,000: Low Profit.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</si>
  <si>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R100,000 – R299,000: Medium Low Profit.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</si>
  <si>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R300,000 – R499,000: Medium High Profit.</t>
    </r>
  </si>
  <si>
    <t>More than R500,000: High Profit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</si>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</sst>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-1C09]* #,##0.00_-;\-[$R-1C09]* #,##0.00_-;_-[$R-1C09]* &quot;-&quot;??_-;_-@_-"/>
    <numFmt numFmtId="165" formatCode="&quot;R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1" fillId="0" borderId="2" xfId="0" applyFont="1" applyBorder="1" applyAlignment="1">
      <alignment horizontal="left"/>
    </xf>
    <xf numFmtId="0" fontId="0" fillId="2" borderId="7" xfId="0" applyFill="1" applyBorder="1"/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3" fillId="3" borderId="0" xfId="0" applyFont="1" applyFill="1"/>
    <xf numFmtId="0" fontId="4" fillId="0" borderId="0" xfId="0" applyFont="1"/>
    <xf numFmtId="165" fontId="4" fillId="0" borderId="0" xfId="0" applyNumberFormat="1" applyFont="1"/>
    <xf numFmtId="165" fontId="4" fillId="3" borderId="4" xfId="0" applyNumberFormat="1" applyFont="1" applyFill="1" applyBorder="1"/>
    <xf numFmtId="0" fontId="4" fillId="0" borderId="3" xfId="0" applyFont="1" applyBorder="1"/>
    <xf numFmtId="165" fontId="4" fillId="0" borderId="3" xfId="0" applyNumberFormat="1" applyFont="1" applyBorder="1"/>
    <xf numFmtId="3" fontId="4" fillId="0" borderId="0" xfId="0" applyNumberFormat="1" applyFont="1"/>
    <xf numFmtId="3" fontId="3" fillId="0" borderId="5" xfId="0" applyNumberFormat="1" applyFont="1" applyBorder="1"/>
    <xf numFmtId="165" fontId="3" fillId="0" borderId="5" xfId="0" applyNumberFormat="1" applyFont="1" applyBorder="1"/>
    <xf numFmtId="0" fontId="2" fillId="0" borderId="3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5" fillId="0" borderId="0" xfId="0" applyFont="1" applyAlignment="1">
      <alignment horizontal="left" vertical="center" indent="7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[Assessment Dataset_Solutions.xlsx]Sheet1!PivotTable1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Sheet1!$A$4:$A$16</c:f>
              <c:strCache>
                <c:ptCount val="12"/>
                <c:pt idx="0">
                  <c:v>BF</c:v>
                </c:pt>
                <c:pt idx="1">
                  <c:v>CT</c:v>
                </c:pt>
                <c:pt idx="2">
                  <c:v>DB</c:v>
                </c:pt>
                <c:pt idx="3">
                  <c:v>EL</c:v>
                </c:pt>
                <c:pt idx="4">
                  <c:v>JH</c:v>
                </c:pt>
                <c:pt idx="5">
                  <c:v>LT</c:v>
                </c:pt>
                <c:pt idx="6">
                  <c:v>MK</c:v>
                </c:pt>
                <c:pt idx="7">
                  <c:v>NP</c:v>
                </c:pt>
                <c:pt idx="8">
                  <c:v>NW</c:v>
                </c:pt>
                <c:pt idx="9">
                  <c:v>PE</c:v>
                </c:pt>
                <c:pt idx="10">
                  <c:v>PL</c:v>
                </c:pt>
                <c:pt idx="11">
                  <c:v>PT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3523600</c:v>
                </c:pt>
                <c:pt idx="1">
                  <c:v>11899200</c:v>
                </c:pt>
                <c:pt idx="2">
                  <c:v>2770200</c:v>
                </c:pt>
                <c:pt idx="3">
                  <c:v>11532800</c:v>
                </c:pt>
                <c:pt idx="4">
                  <c:v>13819330</c:v>
                </c:pt>
                <c:pt idx="5">
                  <c:v>20609460</c:v>
                </c:pt>
                <c:pt idx="6">
                  <c:v>6337440</c:v>
                </c:pt>
                <c:pt idx="7">
                  <c:v>8172800</c:v>
                </c:pt>
                <c:pt idx="8">
                  <c:v>330330</c:v>
                </c:pt>
                <c:pt idx="9">
                  <c:v>1645000</c:v>
                </c:pt>
                <c:pt idx="10">
                  <c:v>407440</c:v>
                </c:pt>
                <c:pt idx="11">
                  <c:v>252000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0-4008-8889-5919540DAA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410902288"/>
        <c:axId val="1080801824"/>
      </c:barChart>
      <c:catAx>
        <c:axId val="14109022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01824"/>
        <c:crosses val="autoZero"/>
        <c:auto val="1"/>
        <c:lblAlgn val="ctr"/>
        <c:lblOffset val="100"/>
        <c:noMultiLvlLbl val="0"/>
      </c:catAx>
      <c:valAx>
        <c:axId val="1080801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0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2</xdr:row>
      <xdr:rowOff>7620</xdr:rowOff>
    </xdr:from>
    <xdr:to>
      <xdr:col>12</xdr:col>
      <xdr:colOff>137160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D7BA3-9CB4-43BE-AA2B-1EA071585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yway Chare" refreshedDate="45881.60944270833" createdVersion="6" refreshedVersion="6" minRefreshableVersion="3" recordCount="104" xr:uid="{B7BD9F16-CC97-4344-9683-4FAE8B379614}">
  <cacheSource type="worksheet">
    <worksheetSource ref="A1:K105" sheet="Sales"/>
  </cacheSource>
  <cacheFields count="11">
    <cacheField name="Customer_ID" numFmtId="0">
      <sharedItems containsSemiMixedTypes="0" containsString="0" containsNumber="1" containsInteger="1" minValue="101" maxValue="204"/>
    </cacheField>
    <cacheField name="Customer_Name" numFmtId="0">
      <sharedItems/>
    </cacheField>
    <cacheField name="City_Code" numFmtId="0">
      <sharedItems count="12">
        <s v="JH"/>
        <s v="LT"/>
        <s v="CT"/>
        <s v="NP"/>
        <s v="DB"/>
        <s v="PT"/>
        <s v="PE"/>
        <s v="MK"/>
        <s v="PL"/>
        <s v="EL"/>
        <s v="NW"/>
        <s v="BF"/>
      </sharedItems>
    </cacheField>
    <cacheField name="Product_ID" numFmtId="0">
      <sharedItems containsSemiMixedTypes="0" containsString="0" containsNumber="1" containsInteger="1" minValue="10" maxValue="20"/>
    </cacheField>
    <cacheField name="Quantity" numFmtId="0">
      <sharedItems containsSemiMixedTypes="0" containsString="0" containsNumber="1" containsInteger="1" minValue="104" maxValue="965"/>
    </cacheField>
    <cacheField name="Product_Price" numFmtId="164">
      <sharedItems containsSemiMixedTypes="0" containsString="0" containsNumber="1" containsInteger="1" minValue="70" maxValue="6800"/>
    </cacheField>
    <cacheField name="Sales" numFmtId="164">
      <sharedItems containsSemiMixedTypes="0" containsString="0" containsNumber="1" containsInteger="1" minValue="13860" maxValue="3055800"/>
    </cacheField>
    <cacheField name="Date_ID" numFmtId="0">
      <sharedItems containsSemiMixedTypes="0" containsString="0" containsNumber="1" containsInteger="1" minValue="202201" maxValue="202312"/>
    </cacheField>
    <cacheField name="Total Cost" numFmtId="164">
      <sharedItems containsSemiMixedTypes="0" containsString="0" containsNumber="1" minValue="11503.8" maxValue="2536314"/>
    </cacheField>
    <cacheField name="Profit" numFmtId="164">
      <sharedItems containsSemiMixedTypes="0" containsString="0" containsNumber="1" minValue="2356.2000000000007" maxValue="519486"/>
    </cacheField>
    <cacheField name="Profit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01"/>
    <s v="Andile"/>
    <x v="0"/>
    <n v="10"/>
    <n v="800"/>
    <n v="900"/>
    <n v="720000"/>
    <n v="202201"/>
    <n v="597600"/>
    <n v="122400"/>
    <s v="Medium Low Profit"/>
  </r>
  <r>
    <n v="102"/>
    <s v="Belinda"/>
    <x v="1"/>
    <n v="11"/>
    <n v="104"/>
    <n v="1200"/>
    <n v="124800"/>
    <n v="202201"/>
    <n v="103584"/>
    <n v="21216"/>
    <s v="Low Profit"/>
  </r>
  <r>
    <n v="103"/>
    <s v="Cathy"/>
    <x v="2"/>
    <n v="12"/>
    <n v="300"/>
    <n v="6600"/>
    <n v="1980000"/>
    <n v="202201"/>
    <n v="1643400"/>
    <n v="336600"/>
    <s v="Medium High Profit"/>
  </r>
  <r>
    <n v="104"/>
    <s v="Dylan"/>
    <x v="3"/>
    <n v="13"/>
    <n v="240"/>
    <n v="70"/>
    <n v="16800"/>
    <n v="202201"/>
    <n v="13944"/>
    <n v="2856"/>
    <s v="Low Profit"/>
  </r>
  <r>
    <n v="105"/>
    <s v="Emery"/>
    <x v="4"/>
    <n v="14"/>
    <n v="321"/>
    <n v="1800"/>
    <n v="577800"/>
    <n v="202201"/>
    <n v="479574"/>
    <n v="98226"/>
    <s v="Low Profit"/>
  </r>
  <r>
    <n v="106"/>
    <s v="Fatima"/>
    <x v="5"/>
    <n v="15"/>
    <n v="105"/>
    <n v="600"/>
    <n v="63000"/>
    <n v="202202"/>
    <n v="52290"/>
    <n v="10710"/>
    <s v="Low Profit"/>
  </r>
  <r>
    <n v="107"/>
    <s v="Gaily"/>
    <x v="6"/>
    <n v="16"/>
    <n v="503"/>
    <n v="350"/>
    <n v="176050"/>
    <n v="202202"/>
    <n v="146121.5"/>
    <n v="29928.5"/>
    <s v="Low Profit"/>
  </r>
  <r>
    <n v="108"/>
    <s v="Hlope"/>
    <x v="7"/>
    <n v="17"/>
    <n v="438"/>
    <n v="270"/>
    <n v="118260"/>
    <n v="202202"/>
    <n v="98155.799999999988"/>
    <n v="20104.200000000012"/>
    <s v="Low Profit"/>
  </r>
  <r>
    <n v="109"/>
    <s v="Imran"/>
    <x v="8"/>
    <n v="18"/>
    <n v="352"/>
    <n v="250"/>
    <n v="88000"/>
    <n v="202202"/>
    <n v="73040"/>
    <n v="14960"/>
    <s v="Low Profit"/>
  </r>
  <r>
    <n v="110"/>
    <s v="Julia"/>
    <x v="0"/>
    <n v="19"/>
    <n v="678"/>
    <n v="2300"/>
    <n v="1559400"/>
    <n v="202202"/>
    <n v="1294302"/>
    <n v="265098"/>
    <s v="Medium Low Profit"/>
  </r>
  <r>
    <n v="111"/>
    <s v="Kuda"/>
    <x v="9"/>
    <n v="20"/>
    <n v="424"/>
    <n v="6800"/>
    <n v="2883200"/>
    <n v="202203"/>
    <n v="2393056"/>
    <n v="490144"/>
    <s v="Medium High Profit"/>
  </r>
  <r>
    <n v="112"/>
    <s v="Lynn"/>
    <x v="0"/>
    <n v="10"/>
    <n v="965"/>
    <n v="900"/>
    <n v="868500"/>
    <n v="202203"/>
    <n v="720855"/>
    <n v="147645"/>
    <s v="Medium Low Profit"/>
  </r>
  <r>
    <n v="113"/>
    <s v="Mlungisi"/>
    <x v="2"/>
    <n v="11"/>
    <n v="236"/>
    <n v="1200"/>
    <n v="283200"/>
    <n v="202203"/>
    <n v="235056"/>
    <n v="48144"/>
    <s v="Low Profit"/>
  </r>
  <r>
    <n v="114"/>
    <s v="Ngubane"/>
    <x v="1"/>
    <n v="12"/>
    <n v="463"/>
    <n v="6600"/>
    <n v="3055800"/>
    <n v="202203"/>
    <n v="2536314"/>
    <n v="519486"/>
    <s v="High Profit"/>
  </r>
  <r>
    <n v="115"/>
    <s v="Otilia"/>
    <x v="8"/>
    <n v="13"/>
    <n v="198"/>
    <n v="70"/>
    <n v="13860"/>
    <n v="202203"/>
    <n v="11503.8"/>
    <n v="2356.2000000000007"/>
    <s v="Low Profit"/>
  </r>
  <r>
    <n v="116"/>
    <s v="Pete"/>
    <x v="7"/>
    <n v="14"/>
    <n v="673"/>
    <n v="1800"/>
    <n v="1211400"/>
    <n v="202204"/>
    <n v="1005462"/>
    <n v="205938"/>
    <s v="Medium Low Profit"/>
  </r>
  <r>
    <n v="117"/>
    <s v="Qobani"/>
    <x v="6"/>
    <n v="15"/>
    <n v="392"/>
    <n v="600"/>
    <n v="235200"/>
    <n v="202204"/>
    <n v="195216"/>
    <n v="39984"/>
    <s v="Low Profit"/>
  </r>
  <r>
    <n v="118"/>
    <s v="Ramapula"/>
    <x v="0"/>
    <n v="16"/>
    <n v="851"/>
    <n v="350"/>
    <n v="297850"/>
    <n v="202204"/>
    <n v="247215.5"/>
    <n v="50634.5"/>
    <s v="Low Profit"/>
  </r>
  <r>
    <n v="119"/>
    <s v="Sue"/>
    <x v="4"/>
    <n v="17"/>
    <n v="425"/>
    <n v="270"/>
    <n v="114750"/>
    <n v="202204"/>
    <n v="95242.5"/>
    <n v="19507.5"/>
    <s v="Low Profit"/>
  </r>
  <r>
    <n v="120"/>
    <s v="Teclar"/>
    <x v="10"/>
    <n v="18"/>
    <n v="294"/>
    <n v="250"/>
    <n v="73500"/>
    <n v="202204"/>
    <n v="61005"/>
    <n v="12495"/>
    <s v="Low Profit"/>
  </r>
  <r>
    <n v="121"/>
    <s v="Ulendo"/>
    <x v="11"/>
    <n v="19"/>
    <n v="383"/>
    <n v="2300"/>
    <n v="880900"/>
    <n v="202205"/>
    <n v="731147"/>
    <n v="149753"/>
    <s v="Medium Low Profit"/>
  </r>
  <r>
    <n v="122"/>
    <s v="Vivian"/>
    <x v="3"/>
    <n v="20"/>
    <n v="298"/>
    <n v="6800"/>
    <n v="2026400"/>
    <n v="202205"/>
    <n v="1681912"/>
    <n v="344488"/>
    <s v="Medium High Profit"/>
  </r>
  <r>
    <n v="123"/>
    <s v="Welly"/>
    <x v="7"/>
    <n v="10"/>
    <n v="283"/>
    <n v="900"/>
    <n v="254700"/>
    <n v="202205"/>
    <n v="211401"/>
    <n v="43299"/>
    <s v="Low Profit"/>
  </r>
  <r>
    <n v="124"/>
    <s v="Xolani"/>
    <x v="2"/>
    <n v="11"/>
    <n v="593"/>
    <n v="1200"/>
    <n v="711600"/>
    <n v="202205"/>
    <n v="590628"/>
    <n v="120972"/>
    <s v="Medium Low Profit"/>
  </r>
  <r>
    <n v="125"/>
    <s v="Yvette"/>
    <x v="1"/>
    <n v="12"/>
    <n v="296"/>
    <n v="6600"/>
    <n v="1953600"/>
    <n v="202206"/>
    <n v="1621488"/>
    <n v="332112"/>
    <s v="Medium High Profit"/>
  </r>
  <r>
    <n v="126"/>
    <s v="Zama"/>
    <x v="10"/>
    <n v="13"/>
    <n v="519"/>
    <n v="70"/>
    <n v="36330"/>
    <n v="202206"/>
    <n v="30153.899999999998"/>
    <n v="6176.1000000000022"/>
    <s v="Low Profit"/>
  </r>
  <r>
    <n v="127"/>
    <s v="Aaron"/>
    <x v="0"/>
    <n v="10"/>
    <n v="800"/>
    <n v="900"/>
    <n v="720000"/>
    <n v="202206"/>
    <n v="597600"/>
    <n v="122400"/>
    <s v="Medium Low Profit"/>
  </r>
  <r>
    <n v="128"/>
    <s v="Brooke"/>
    <x v="1"/>
    <n v="11"/>
    <n v="104"/>
    <n v="1200"/>
    <n v="124800"/>
    <n v="202206"/>
    <n v="103584"/>
    <n v="21216"/>
    <s v="Low Profit"/>
  </r>
  <r>
    <n v="129"/>
    <s v="Cain"/>
    <x v="2"/>
    <n v="12"/>
    <n v="300"/>
    <n v="6600"/>
    <n v="1980000"/>
    <n v="202207"/>
    <n v="1643400"/>
    <n v="336600"/>
    <s v="Medium High Profit"/>
  </r>
  <r>
    <n v="130"/>
    <s v="Dre"/>
    <x v="3"/>
    <n v="13"/>
    <n v="240"/>
    <n v="70"/>
    <n v="16800"/>
    <n v="202207"/>
    <n v="13944"/>
    <n v="2856"/>
    <s v="Low Profit"/>
  </r>
  <r>
    <n v="131"/>
    <s v="Ethan"/>
    <x v="4"/>
    <n v="14"/>
    <n v="321"/>
    <n v="1800"/>
    <n v="577800"/>
    <n v="202207"/>
    <n v="479574"/>
    <n v="98226"/>
    <s v="Low Profit"/>
  </r>
  <r>
    <n v="132"/>
    <s v="Florence"/>
    <x v="5"/>
    <n v="15"/>
    <n v="105"/>
    <n v="600"/>
    <n v="63000"/>
    <n v="202207"/>
    <n v="52290"/>
    <n v="10710"/>
    <s v="Low Profit"/>
  </r>
  <r>
    <n v="133"/>
    <s v="Gilian"/>
    <x v="6"/>
    <n v="16"/>
    <n v="503"/>
    <n v="350"/>
    <n v="176050"/>
    <n v="202207"/>
    <n v="146121.5"/>
    <n v="29928.5"/>
    <s v="Low Profit"/>
  </r>
  <r>
    <n v="134"/>
    <s v="Humbulani"/>
    <x v="7"/>
    <n v="17"/>
    <n v="438"/>
    <n v="270"/>
    <n v="118260"/>
    <n v="202208"/>
    <n v="98155.799999999988"/>
    <n v="20104.200000000012"/>
    <s v="Low Profit"/>
  </r>
  <r>
    <n v="135"/>
    <s v="Ian"/>
    <x v="8"/>
    <n v="18"/>
    <n v="352"/>
    <n v="250"/>
    <n v="88000"/>
    <n v="202208"/>
    <n v="73040"/>
    <n v="14960"/>
    <s v="Low Profit"/>
  </r>
  <r>
    <n v="136"/>
    <s v="Jacob"/>
    <x v="0"/>
    <n v="19"/>
    <n v="678"/>
    <n v="2300"/>
    <n v="1559400"/>
    <n v="202208"/>
    <n v="1294302"/>
    <n v="265098"/>
    <s v="Medium Low Profit"/>
  </r>
  <r>
    <n v="137"/>
    <s v="Khosi"/>
    <x v="9"/>
    <n v="20"/>
    <n v="424"/>
    <n v="6800"/>
    <n v="2883200"/>
    <n v="202208"/>
    <n v="2393056"/>
    <n v="490144"/>
    <s v="Medium High Profit"/>
  </r>
  <r>
    <n v="138"/>
    <s v="Lulu"/>
    <x v="0"/>
    <n v="10"/>
    <n v="965"/>
    <n v="900"/>
    <n v="868500"/>
    <n v="202209"/>
    <n v="720855"/>
    <n v="147645"/>
    <s v="Medium Low Profit"/>
  </r>
  <r>
    <n v="139"/>
    <s v="Mercy"/>
    <x v="2"/>
    <n v="11"/>
    <n v="236"/>
    <n v="1200"/>
    <n v="283200"/>
    <n v="202209"/>
    <n v="235056"/>
    <n v="48144"/>
    <s v="Low Profit"/>
  </r>
  <r>
    <n v="140"/>
    <s v="Nhlakanipho"/>
    <x v="1"/>
    <n v="12"/>
    <n v="463"/>
    <n v="6600"/>
    <n v="3055800"/>
    <n v="202209"/>
    <n v="2536314"/>
    <n v="519486"/>
    <s v="High Profit"/>
  </r>
  <r>
    <n v="141"/>
    <s v="Obrey"/>
    <x v="8"/>
    <n v="13"/>
    <n v="198"/>
    <n v="70"/>
    <n v="13860"/>
    <n v="202209"/>
    <n v="11503.8"/>
    <n v="2356.2000000000007"/>
    <s v="Low Profit"/>
  </r>
  <r>
    <n v="142"/>
    <s v="Phule"/>
    <x v="7"/>
    <n v="14"/>
    <n v="673"/>
    <n v="1800"/>
    <n v="1211400"/>
    <n v="202209"/>
    <n v="1005462"/>
    <n v="205938"/>
    <s v="Medium Low Profit"/>
  </r>
  <r>
    <n v="143"/>
    <s v="Qulu"/>
    <x v="6"/>
    <n v="15"/>
    <n v="392"/>
    <n v="600"/>
    <n v="235200"/>
    <n v="202210"/>
    <n v="195216"/>
    <n v="39984"/>
    <s v="Low Profit"/>
  </r>
  <r>
    <n v="144"/>
    <s v="Reitumetse"/>
    <x v="0"/>
    <n v="16"/>
    <n v="851"/>
    <n v="350"/>
    <n v="297850"/>
    <n v="202210"/>
    <n v="247215.5"/>
    <n v="50634.5"/>
    <s v="Low Profit"/>
  </r>
  <r>
    <n v="145"/>
    <s v="Slindelo"/>
    <x v="4"/>
    <n v="17"/>
    <n v="425"/>
    <n v="270"/>
    <n v="114750"/>
    <n v="202210"/>
    <n v="95242.5"/>
    <n v="19507.5"/>
    <s v="Low Profit"/>
  </r>
  <r>
    <n v="146"/>
    <s v="Thulani"/>
    <x v="10"/>
    <n v="18"/>
    <n v="294"/>
    <n v="250"/>
    <n v="73500"/>
    <n v="202210"/>
    <n v="61005"/>
    <n v="12495"/>
    <s v="Low Profit"/>
  </r>
  <r>
    <n v="147"/>
    <s v="Uria"/>
    <x v="11"/>
    <n v="19"/>
    <n v="383"/>
    <n v="2300"/>
    <n v="880900"/>
    <n v="202210"/>
    <n v="731147"/>
    <n v="149753"/>
    <s v="Medium Low Profit"/>
  </r>
  <r>
    <n v="148"/>
    <s v="Valarie"/>
    <x v="3"/>
    <n v="20"/>
    <n v="298"/>
    <n v="6800"/>
    <n v="2026400"/>
    <n v="202211"/>
    <n v="1681912"/>
    <n v="344488"/>
    <s v="Medium High Profit"/>
  </r>
  <r>
    <n v="149"/>
    <s v="Wandiswa"/>
    <x v="7"/>
    <n v="10"/>
    <n v="283"/>
    <n v="900"/>
    <n v="254700"/>
    <n v="202211"/>
    <n v="211401"/>
    <n v="43299"/>
    <s v="Low Profit"/>
  </r>
  <r>
    <n v="150"/>
    <s v="Xolele"/>
    <x v="2"/>
    <n v="11"/>
    <n v="593"/>
    <n v="1200"/>
    <n v="711600"/>
    <n v="202211"/>
    <n v="590628"/>
    <n v="120972"/>
    <s v="Medium Low Profit"/>
  </r>
  <r>
    <n v="151"/>
    <s v="Yvonne"/>
    <x v="1"/>
    <n v="12"/>
    <n v="296"/>
    <n v="6600"/>
    <n v="1953600"/>
    <n v="202211"/>
    <n v="1621488"/>
    <n v="332112"/>
    <s v="Medium High Profit"/>
  </r>
  <r>
    <n v="152"/>
    <s v="Zime"/>
    <x v="0"/>
    <n v="13"/>
    <n v="519"/>
    <n v="70"/>
    <n v="36330"/>
    <n v="202211"/>
    <n v="30153.899999999998"/>
    <n v="6176.1000000000022"/>
    <s v="Low Profit"/>
  </r>
  <r>
    <n v="153"/>
    <s v="Allan"/>
    <x v="0"/>
    <n v="10"/>
    <n v="800"/>
    <n v="900"/>
    <n v="720000"/>
    <n v="202212"/>
    <n v="597600"/>
    <n v="122400"/>
    <s v="Medium Low Profit"/>
  </r>
  <r>
    <n v="154"/>
    <s v="Bulelani"/>
    <x v="1"/>
    <n v="11"/>
    <n v="104"/>
    <n v="1200"/>
    <n v="124800"/>
    <n v="202212"/>
    <n v="103584"/>
    <n v="21216"/>
    <s v="Low Profit"/>
  </r>
  <r>
    <n v="155"/>
    <s v="Cele"/>
    <x v="2"/>
    <n v="12"/>
    <n v="300"/>
    <n v="6600"/>
    <n v="1980000"/>
    <n v="202212"/>
    <n v="1643400"/>
    <n v="336600"/>
    <s v="Medium High Profit"/>
  </r>
  <r>
    <n v="156"/>
    <s v="Debra"/>
    <x v="3"/>
    <n v="13"/>
    <n v="240"/>
    <n v="70"/>
    <n v="16800"/>
    <n v="202212"/>
    <n v="13944"/>
    <n v="2856"/>
    <s v="Low Profit"/>
  </r>
  <r>
    <n v="157"/>
    <s v="Ellen"/>
    <x v="4"/>
    <n v="14"/>
    <n v="321"/>
    <n v="1800"/>
    <n v="577800"/>
    <n v="202301"/>
    <n v="479574"/>
    <n v="98226"/>
    <s v="Low Profit"/>
  </r>
  <r>
    <n v="158"/>
    <s v="Felix"/>
    <x v="5"/>
    <n v="15"/>
    <n v="105"/>
    <n v="600"/>
    <n v="63000"/>
    <n v="202301"/>
    <n v="52290"/>
    <n v="10710"/>
    <s v="Low Profit"/>
  </r>
  <r>
    <n v="159"/>
    <s v="George"/>
    <x v="6"/>
    <n v="16"/>
    <n v="503"/>
    <n v="350"/>
    <n v="176050"/>
    <n v="202301"/>
    <n v="146121.5"/>
    <n v="29928.5"/>
    <s v="Low Profit"/>
  </r>
  <r>
    <n v="160"/>
    <s v="Holomisa"/>
    <x v="7"/>
    <n v="17"/>
    <n v="438"/>
    <n v="270"/>
    <n v="118260"/>
    <n v="202301"/>
    <n v="98155.799999999988"/>
    <n v="20104.200000000012"/>
    <s v="Low Profit"/>
  </r>
  <r>
    <n v="161"/>
    <s v="Ingrid"/>
    <x v="8"/>
    <n v="18"/>
    <n v="352"/>
    <n v="250"/>
    <n v="88000"/>
    <n v="202302"/>
    <n v="73040"/>
    <n v="14960"/>
    <s v="Low Profit"/>
  </r>
  <r>
    <n v="162"/>
    <s v="Jason"/>
    <x v="0"/>
    <n v="19"/>
    <n v="678"/>
    <n v="2300"/>
    <n v="1559400"/>
    <n v="202302"/>
    <n v="1294302"/>
    <n v="265098"/>
    <s v="Medium Low Profit"/>
  </r>
  <r>
    <n v="163"/>
    <s v="Khumbulani"/>
    <x v="9"/>
    <n v="20"/>
    <n v="424"/>
    <n v="6800"/>
    <n v="2883200"/>
    <n v="202302"/>
    <n v="2393056"/>
    <n v="490144"/>
    <s v="Medium High Profit"/>
  </r>
  <r>
    <n v="164"/>
    <s v="Lindelani"/>
    <x v="0"/>
    <n v="10"/>
    <n v="965"/>
    <n v="900"/>
    <n v="868500"/>
    <n v="202302"/>
    <n v="720855"/>
    <n v="147645"/>
    <s v="Medium Low Profit"/>
  </r>
  <r>
    <n v="165"/>
    <s v="Mabaso"/>
    <x v="2"/>
    <n v="11"/>
    <n v="236"/>
    <n v="1200"/>
    <n v="283200"/>
    <n v="202303"/>
    <n v="235056"/>
    <n v="48144"/>
    <s v="Low Profit"/>
  </r>
  <r>
    <n v="166"/>
    <s v="Nqubani"/>
    <x v="1"/>
    <n v="12"/>
    <n v="463"/>
    <n v="6600"/>
    <n v="3055800"/>
    <n v="202303"/>
    <n v="2536314"/>
    <n v="519486"/>
    <s v="High Profit"/>
  </r>
  <r>
    <n v="167"/>
    <s v="Onke"/>
    <x v="8"/>
    <n v="13"/>
    <n v="198"/>
    <n v="70"/>
    <n v="13860"/>
    <n v="202303"/>
    <n v="11503.8"/>
    <n v="2356.2000000000007"/>
    <s v="Low Profit"/>
  </r>
  <r>
    <n v="168"/>
    <s v="Precious"/>
    <x v="7"/>
    <n v="14"/>
    <n v="673"/>
    <n v="1800"/>
    <n v="1211400"/>
    <n v="202303"/>
    <n v="1005462"/>
    <n v="205938"/>
    <s v="Medium Low Profit"/>
  </r>
  <r>
    <n v="169"/>
    <s v="Qwabe"/>
    <x v="6"/>
    <n v="15"/>
    <n v="392"/>
    <n v="600"/>
    <n v="235200"/>
    <n v="202303"/>
    <n v="195216"/>
    <n v="39984"/>
    <s v="Low Profit"/>
  </r>
  <r>
    <n v="170"/>
    <s v="Rulani"/>
    <x v="0"/>
    <n v="16"/>
    <n v="851"/>
    <n v="350"/>
    <n v="297850"/>
    <n v="202303"/>
    <n v="247215.5"/>
    <n v="50634.5"/>
    <s v="Low Profit"/>
  </r>
  <r>
    <n v="171"/>
    <s v="Simbongile"/>
    <x v="4"/>
    <n v="17"/>
    <n v="425"/>
    <n v="270"/>
    <n v="114750"/>
    <n v="202304"/>
    <n v="95242.5"/>
    <n v="19507.5"/>
    <s v="Low Profit"/>
  </r>
  <r>
    <n v="172"/>
    <s v="Themba"/>
    <x v="10"/>
    <n v="18"/>
    <n v="294"/>
    <n v="250"/>
    <n v="73500"/>
    <n v="202304"/>
    <n v="61005"/>
    <n v="12495"/>
    <s v="Low Profit"/>
  </r>
  <r>
    <n v="173"/>
    <s v="Urthar"/>
    <x v="11"/>
    <n v="19"/>
    <n v="383"/>
    <n v="2300"/>
    <n v="880900"/>
    <n v="202304"/>
    <n v="731147"/>
    <n v="149753"/>
    <s v="Medium Low Profit"/>
  </r>
  <r>
    <n v="174"/>
    <s v="Vusimusi"/>
    <x v="3"/>
    <n v="20"/>
    <n v="298"/>
    <n v="6800"/>
    <n v="2026400"/>
    <n v="202304"/>
    <n v="1681912"/>
    <n v="344488"/>
    <s v="Medium High Profit"/>
  </r>
  <r>
    <n v="175"/>
    <s v="Wandile"/>
    <x v="7"/>
    <n v="10"/>
    <n v="283"/>
    <n v="900"/>
    <n v="254700"/>
    <n v="202305"/>
    <n v="211401"/>
    <n v="43299"/>
    <s v="Low Profit"/>
  </r>
  <r>
    <n v="176"/>
    <s v="Xolisi"/>
    <x v="2"/>
    <n v="11"/>
    <n v="593"/>
    <n v="1200"/>
    <n v="711600"/>
    <n v="202305"/>
    <n v="590628"/>
    <n v="120972"/>
    <s v="Medium Low Profit"/>
  </r>
  <r>
    <n v="177"/>
    <s v="Yolanda"/>
    <x v="1"/>
    <n v="12"/>
    <n v="296"/>
    <n v="6600"/>
    <n v="1953600"/>
    <n v="202305"/>
    <n v="1621488"/>
    <n v="332112"/>
    <s v="Medium High Profit"/>
  </r>
  <r>
    <n v="178"/>
    <s v="Zinhle"/>
    <x v="1"/>
    <n v="13"/>
    <n v="519"/>
    <n v="70"/>
    <n v="36330"/>
    <n v="202305"/>
    <n v="30153.899999999998"/>
    <n v="6176.1000000000022"/>
    <s v="Low Profit"/>
  </r>
  <r>
    <n v="179"/>
    <s v="Asanda"/>
    <x v="0"/>
    <n v="10"/>
    <n v="800"/>
    <n v="900"/>
    <n v="720000"/>
    <n v="202306"/>
    <n v="597600"/>
    <n v="122400"/>
    <s v="Medium Low Profit"/>
  </r>
  <r>
    <n v="180"/>
    <s v="Bhekie"/>
    <x v="1"/>
    <n v="11"/>
    <n v="104"/>
    <n v="1200"/>
    <n v="124800"/>
    <n v="202306"/>
    <n v="103584"/>
    <n v="21216"/>
    <s v="Low Profit"/>
  </r>
  <r>
    <n v="181"/>
    <s v="Cumani"/>
    <x v="2"/>
    <n v="12"/>
    <n v="300"/>
    <n v="6600"/>
    <n v="1980000"/>
    <n v="202306"/>
    <n v="1643400"/>
    <n v="336600"/>
    <s v="Medium High Profit"/>
  </r>
  <r>
    <n v="182"/>
    <s v="Dennis"/>
    <x v="3"/>
    <n v="13"/>
    <n v="240"/>
    <n v="70"/>
    <n v="16800"/>
    <n v="202306"/>
    <n v="13944"/>
    <n v="2856"/>
    <s v="Low Profit"/>
  </r>
  <r>
    <n v="183"/>
    <s v="Emma"/>
    <x v="4"/>
    <n v="14"/>
    <n v="321"/>
    <n v="1800"/>
    <n v="577800"/>
    <n v="202307"/>
    <n v="479574"/>
    <n v="98226"/>
    <s v="Low Profit"/>
  </r>
  <r>
    <n v="184"/>
    <s v="Fiona"/>
    <x v="5"/>
    <n v="15"/>
    <n v="105"/>
    <n v="600"/>
    <n v="63000"/>
    <n v="202307"/>
    <n v="52290"/>
    <n v="10710"/>
    <s v="Low Profit"/>
  </r>
  <r>
    <n v="185"/>
    <s v="Garry"/>
    <x v="6"/>
    <n v="16"/>
    <n v="503"/>
    <n v="350"/>
    <n v="176050"/>
    <n v="202307"/>
    <n v="146121.5"/>
    <n v="29928.5"/>
    <s v="Low Profit"/>
  </r>
  <r>
    <n v="186"/>
    <s v="Hlalulile"/>
    <x v="7"/>
    <n v="17"/>
    <n v="438"/>
    <n v="270"/>
    <n v="118260"/>
    <n v="202308"/>
    <n v="98155.799999999988"/>
    <n v="20104.200000000012"/>
    <s v="Low Profit"/>
  </r>
  <r>
    <n v="187"/>
    <s v="Indie"/>
    <x v="8"/>
    <n v="18"/>
    <n v="352"/>
    <n v="250"/>
    <n v="88000"/>
    <n v="202308"/>
    <n v="73040"/>
    <n v="14960"/>
    <s v="Low Profit"/>
  </r>
  <r>
    <n v="188"/>
    <s v="Juliana"/>
    <x v="0"/>
    <n v="19"/>
    <n v="678"/>
    <n v="2300"/>
    <n v="1559400"/>
    <n v="202308"/>
    <n v="1294302"/>
    <n v="265098"/>
    <s v="Medium Low Profit"/>
  </r>
  <r>
    <n v="189"/>
    <s v="Kheswa"/>
    <x v="9"/>
    <n v="20"/>
    <n v="424"/>
    <n v="6800"/>
    <n v="2883200"/>
    <n v="202309"/>
    <n v="2393056"/>
    <n v="490144"/>
    <s v="Medium High Profit"/>
  </r>
  <r>
    <n v="190"/>
    <s v="Lindokuhle"/>
    <x v="0"/>
    <n v="10"/>
    <n v="965"/>
    <n v="900"/>
    <n v="868500"/>
    <n v="202309"/>
    <n v="720855"/>
    <n v="147645"/>
    <s v="Medium Low Profit"/>
  </r>
  <r>
    <n v="191"/>
    <s v="Mandla"/>
    <x v="2"/>
    <n v="11"/>
    <n v="236"/>
    <n v="1200"/>
    <n v="283200"/>
    <n v="202309"/>
    <n v="235056"/>
    <n v="48144"/>
    <s v="Low Profit"/>
  </r>
  <r>
    <n v="192"/>
    <s v="Ngubane"/>
    <x v="1"/>
    <n v="12"/>
    <n v="463"/>
    <n v="6600"/>
    <n v="3055800"/>
    <n v="202309"/>
    <n v="2536314"/>
    <n v="519486"/>
    <s v="High Profit"/>
  </r>
  <r>
    <n v="193"/>
    <s v="Oscar"/>
    <x v="8"/>
    <n v="13"/>
    <n v="198"/>
    <n v="70"/>
    <n v="13860"/>
    <n v="202310"/>
    <n v="11503.8"/>
    <n v="2356.2000000000007"/>
    <s v="Low Profit"/>
  </r>
  <r>
    <n v="194"/>
    <s v="Peters"/>
    <x v="7"/>
    <n v="14"/>
    <n v="673"/>
    <n v="1800"/>
    <n v="1211400"/>
    <n v="202310"/>
    <n v="1005462"/>
    <n v="205938"/>
    <s v="Medium Low Profit"/>
  </r>
  <r>
    <n v="195"/>
    <s v="Qalani"/>
    <x v="6"/>
    <n v="15"/>
    <n v="392"/>
    <n v="600"/>
    <n v="235200"/>
    <n v="202310"/>
    <n v="195216"/>
    <n v="39984"/>
    <s v="Low Profit"/>
  </r>
  <r>
    <n v="196"/>
    <s v="Respina"/>
    <x v="0"/>
    <n v="16"/>
    <n v="851"/>
    <n v="350"/>
    <n v="297850"/>
    <n v="202310"/>
    <n v="247215.5"/>
    <n v="50634.5"/>
    <s v="Low Profit"/>
  </r>
  <r>
    <n v="197"/>
    <s v="Shozi"/>
    <x v="4"/>
    <n v="17"/>
    <n v="425"/>
    <n v="270"/>
    <n v="114750"/>
    <n v="202311"/>
    <n v="95242.5"/>
    <n v="19507.5"/>
    <s v="Low Profit"/>
  </r>
  <r>
    <n v="198"/>
    <s v="Thembalami"/>
    <x v="10"/>
    <n v="18"/>
    <n v="294"/>
    <n v="250"/>
    <n v="73500"/>
    <n v="202311"/>
    <n v="61005"/>
    <n v="12495"/>
    <s v="Low Profit"/>
  </r>
  <r>
    <n v="199"/>
    <s v="Usofia"/>
    <x v="11"/>
    <n v="19"/>
    <n v="383"/>
    <n v="2300"/>
    <n v="880900"/>
    <n v="202311"/>
    <n v="731147"/>
    <n v="149753"/>
    <s v="Medium Low Profit"/>
  </r>
  <r>
    <n v="200"/>
    <s v="Vhutshilo"/>
    <x v="3"/>
    <n v="20"/>
    <n v="298"/>
    <n v="6800"/>
    <n v="2026400"/>
    <n v="202311"/>
    <n v="1681912"/>
    <n v="344488"/>
    <s v="Medium High Profit"/>
  </r>
  <r>
    <n v="201"/>
    <s v="Wendy"/>
    <x v="7"/>
    <n v="10"/>
    <n v="283"/>
    <n v="900"/>
    <n v="254700"/>
    <n v="202312"/>
    <n v="211401"/>
    <n v="43299"/>
    <s v="Low Profit"/>
  </r>
  <r>
    <n v="202"/>
    <s v="Xulu"/>
    <x v="2"/>
    <n v="11"/>
    <n v="593"/>
    <n v="1200"/>
    <n v="711600"/>
    <n v="202312"/>
    <n v="590628"/>
    <n v="120972"/>
    <s v="Medium Low Profit"/>
  </r>
  <r>
    <n v="203"/>
    <s v="Yolandie"/>
    <x v="1"/>
    <n v="12"/>
    <n v="296"/>
    <n v="6600"/>
    <n v="1953600"/>
    <n v="202312"/>
    <n v="1621488"/>
    <n v="332112"/>
    <s v="Medium High Profit"/>
  </r>
  <r>
    <n v="204"/>
    <s v="Zuma"/>
    <x v="1"/>
    <n v="13"/>
    <n v="519"/>
    <n v="70"/>
    <n v="36330"/>
    <n v="202312"/>
    <n v="30153.899999999998"/>
    <n v="6176.1000000000022"/>
    <s v="Low 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9E816-17A2-455B-AAF9-15F8A78132BD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11">
    <pivotField showAll="0"/>
    <pivotField showAll="0"/>
    <pivotField axis="axisRow" showAll="0">
      <items count="13">
        <item x="11"/>
        <item x="2"/>
        <item x="4"/>
        <item x="9"/>
        <item x="0"/>
        <item x="1"/>
        <item x="7"/>
        <item x="3"/>
        <item x="10"/>
        <item x="6"/>
        <item x="8"/>
        <item x="5"/>
        <item t="default"/>
      </items>
    </pivotField>
    <pivotField showAll="0"/>
    <pivotField showAll="0"/>
    <pivotField numFmtId="164" showAll="0"/>
    <pivotField dataField="1" numFmtId="164" showAll="0"/>
    <pivotField showAll="0"/>
    <pivotField numFmtId="164" showAll="0"/>
    <pivotField numFmtId="164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E921-DD9A-49C5-B1A3-33985A742112}">
  <dimension ref="A3:B16"/>
  <sheetViews>
    <sheetView topLeftCell="A2" workbookViewId="0">
      <selection activeCell="A11" sqref="A4:A15"/>
      <pivotSelection pane="bottomRight" showHeader="1" axis="axisRow" activeRow="10" previousRow="10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5" t="s">
        <v>151</v>
      </c>
      <c r="B3" t="s">
        <v>153</v>
      </c>
    </row>
    <row r="4" spans="1:2" x14ac:dyDescent="0.3">
      <c r="A4" s="26" t="s">
        <v>16</v>
      </c>
      <c r="B4" s="27">
        <v>3523600</v>
      </c>
    </row>
    <row r="5" spans="1:2" x14ac:dyDescent="0.3">
      <c r="A5" s="26" t="s">
        <v>7</v>
      </c>
      <c r="B5" s="27">
        <v>11899200</v>
      </c>
    </row>
    <row r="6" spans="1:2" x14ac:dyDescent="0.3">
      <c r="A6" s="26" t="s">
        <v>9</v>
      </c>
      <c r="B6" s="27">
        <v>2770200</v>
      </c>
    </row>
    <row r="7" spans="1:2" x14ac:dyDescent="0.3">
      <c r="A7" s="26" t="s">
        <v>14</v>
      </c>
      <c r="B7" s="27">
        <v>11532800</v>
      </c>
    </row>
    <row r="8" spans="1:2" x14ac:dyDescent="0.3">
      <c r="A8" s="26" t="s">
        <v>5</v>
      </c>
      <c r="B8" s="27">
        <v>13819330</v>
      </c>
    </row>
    <row r="9" spans="1:2" x14ac:dyDescent="0.3">
      <c r="A9" s="26" t="s">
        <v>6</v>
      </c>
      <c r="B9" s="27">
        <v>20609460</v>
      </c>
    </row>
    <row r="10" spans="1:2" x14ac:dyDescent="0.3">
      <c r="A10" s="26" t="s">
        <v>12</v>
      </c>
      <c r="B10" s="27">
        <v>6337440</v>
      </c>
    </row>
    <row r="11" spans="1:2" x14ac:dyDescent="0.3">
      <c r="A11" s="26" t="s">
        <v>8</v>
      </c>
      <c r="B11" s="27">
        <v>8172800</v>
      </c>
    </row>
    <row r="12" spans="1:2" x14ac:dyDescent="0.3">
      <c r="A12" s="26" t="s">
        <v>15</v>
      </c>
      <c r="B12" s="27">
        <v>330330</v>
      </c>
    </row>
    <row r="13" spans="1:2" x14ac:dyDescent="0.3">
      <c r="A13" s="26" t="s">
        <v>11</v>
      </c>
      <c r="B13" s="27">
        <v>1645000</v>
      </c>
    </row>
    <row r="14" spans="1:2" x14ac:dyDescent="0.3">
      <c r="A14" s="26" t="s">
        <v>13</v>
      </c>
      <c r="B14" s="27">
        <v>407440</v>
      </c>
    </row>
    <row r="15" spans="1:2" x14ac:dyDescent="0.3">
      <c r="A15" s="26" t="s">
        <v>10</v>
      </c>
      <c r="B15" s="27">
        <v>252000</v>
      </c>
    </row>
    <row r="16" spans="1:2" x14ac:dyDescent="0.3">
      <c r="A16" s="26" t="s">
        <v>152</v>
      </c>
      <c r="B16" s="27">
        <v>81299600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"/>
  <sheetViews>
    <sheetView topLeftCell="J10" workbookViewId="0">
      <selection activeCell="K21" sqref="K21"/>
    </sheetView>
  </sheetViews>
  <sheetFormatPr defaultRowHeight="14.4" x14ac:dyDescent="0.3"/>
  <cols>
    <col min="1" max="1" width="11.88671875" style="1" bestFit="1" customWidth="1"/>
    <col min="2" max="2" width="15.21875" style="1" bestFit="1" customWidth="1"/>
    <col min="3" max="3" width="9.5546875" style="1" bestFit="1" customWidth="1"/>
    <col min="4" max="4" width="10.44140625" style="1" bestFit="1" customWidth="1"/>
    <col min="5" max="5" width="8.33203125" style="1" bestFit="1" customWidth="1"/>
    <col min="6" max="6" width="12.33203125" style="1" bestFit="1" customWidth="1"/>
    <col min="7" max="7" width="13.88671875" style="1" bestFit="1" customWidth="1"/>
    <col min="8" max="8" width="7.6640625" bestFit="1" customWidth="1"/>
    <col min="9" max="9" width="14" bestFit="1" customWidth="1"/>
    <col min="10" max="10" width="12.44140625" bestFit="1" customWidth="1"/>
    <col min="11" max="11" width="17.6640625" customWidth="1"/>
    <col min="12" max="12" width="13.77734375" bestFit="1" customWidth="1"/>
    <col min="13" max="13" width="43.88671875" customWidth="1"/>
    <col min="14" max="14" width="15.21875" bestFit="1" customWidth="1"/>
    <col min="15" max="16" width="10.44140625" bestFit="1" customWidth="1"/>
    <col min="17" max="18" width="12.77734375" bestFit="1" customWidth="1"/>
    <col min="19" max="19" width="9.5546875" bestFit="1" customWidth="1"/>
    <col min="20" max="20" width="11" customWidth="1"/>
  </cols>
  <sheetData>
    <row r="1" spans="1:19" ht="15" thickBot="1" x14ac:dyDescent="0.35">
      <c r="A1" s="5" t="s">
        <v>1</v>
      </c>
      <c r="B1" s="5" t="s">
        <v>2</v>
      </c>
      <c r="C1" s="5" t="s">
        <v>17</v>
      </c>
      <c r="D1" s="5" t="s">
        <v>3</v>
      </c>
      <c r="E1" s="5" t="s">
        <v>0</v>
      </c>
      <c r="F1" s="5" t="s">
        <v>19</v>
      </c>
      <c r="G1" s="5" t="s">
        <v>18</v>
      </c>
      <c r="H1" s="5" t="s">
        <v>4</v>
      </c>
      <c r="I1" s="5" t="s">
        <v>143</v>
      </c>
      <c r="J1" s="5" t="s">
        <v>124</v>
      </c>
      <c r="K1" s="5" t="s">
        <v>125</v>
      </c>
      <c r="M1" s="12" t="s">
        <v>141</v>
      </c>
      <c r="N1" s="6">
        <f>SUMIF(D2:D105,"13",G2:G105)</f>
        <v>267960</v>
      </c>
    </row>
    <row r="2" spans="1:19" ht="15" thickBot="1" x14ac:dyDescent="0.35">
      <c r="A2" s="10">
        <v>101</v>
      </c>
      <c r="B2" s="10" t="s">
        <v>20</v>
      </c>
      <c r="C2" s="10" t="s">
        <v>5</v>
      </c>
      <c r="D2" s="10">
        <v>10</v>
      </c>
      <c r="E2" s="10">
        <v>800</v>
      </c>
      <c r="F2" s="11">
        <v>900</v>
      </c>
      <c r="G2" s="11">
        <f>E2*F2</f>
        <v>720000</v>
      </c>
      <c r="H2" s="10">
        <v>202201</v>
      </c>
      <c r="I2" s="23">
        <f>SUM(G2*0.83)</f>
        <v>597600</v>
      </c>
      <c r="J2" s="9">
        <f>G2-I2</f>
        <v>122400</v>
      </c>
      <c r="K2" s="4" t="str">
        <f>_xlfn.IFS(J2&gt;500000,"High Profit",J2&gt;=300000,"Medium High Profit",J2&gt;=100000,"Medium Low Profit",J2&lt;100000,"Low Profit")</f>
        <v>Medium Low Profit</v>
      </c>
      <c r="M2" t="s">
        <v>139</v>
      </c>
      <c r="S2" s="3"/>
    </row>
    <row r="3" spans="1:19" ht="15" thickBot="1" x14ac:dyDescent="0.35">
      <c r="A3" s="10">
        <v>102</v>
      </c>
      <c r="B3" s="10" t="s">
        <v>21</v>
      </c>
      <c r="C3" s="10" t="s">
        <v>6</v>
      </c>
      <c r="D3" s="10">
        <v>11</v>
      </c>
      <c r="E3" s="10">
        <v>104</v>
      </c>
      <c r="F3" s="11">
        <v>1200</v>
      </c>
      <c r="G3" s="11">
        <f t="shared" ref="G3:G66" si="0">E3*F3</f>
        <v>124800</v>
      </c>
      <c r="H3" s="10">
        <v>202201</v>
      </c>
      <c r="I3" s="23">
        <f t="shared" ref="I3:I66" si="1">83%*G3</f>
        <v>103584</v>
      </c>
      <c r="J3" s="9">
        <f t="shared" ref="J3:J66" si="2">G3-I3</f>
        <v>21216</v>
      </c>
      <c r="K3" s="4" t="str">
        <f t="shared" ref="K3:K66" si="3">_xlfn.IFS(J3&gt;500000,"High Profit",J3&gt;=300000,"Medium High Profit",J3&gt;=100000,"Medium Low Profit",J3&lt;100000,"Low Profit")</f>
        <v>Low Profit</v>
      </c>
      <c r="M3" s="7" t="s">
        <v>142</v>
      </c>
      <c r="N3" s="8">
        <f>SUM(E2:E105)</f>
        <v>44536</v>
      </c>
    </row>
    <row r="4" spans="1:19" ht="15" thickBot="1" x14ac:dyDescent="0.35">
      <c r="A4" s="10">
        <v>103</v>
      </c>
      <c r="B4" s="10" t="s">
        <v>22</v>
      </c>
      <c r="C4" s="10" t="s">
        <v>7</v>
      </c>
      <c r="D4" s="10">
        <v>12</v>
      </c>
      <c r="E4" s="10">
        <v>300</v>
      </c>
      <c r="F4" s="11">
        <v>6600</v>
      </c>
      <c r="G4" s="11">
        <f t="shared" si="0"/>
        <v>1980000</v>
      </c>
      <c r="H4" s="10">
        <v>202201</v>
      </c>
      <c r="I4" s="23">
        <f t="shared" si="1"/>
        <v>1643400</v>
      </c>
      <c r="J4" s="9">
        <f t="shared" si="2"/>
        <v>336600</v>
      </c>
      <c r="K4" s="4" t="str">
        <f t="shared" si="3"/>
        <v>Medium High Profit</v>
      </c>
    </row>
    <row r="5" spans="1:19" ht="15" thickBot="1" x14ac:dyDescent="0.35">
      <c r="A5" s="10">
        <v>104</v>
      </c>
      <c r="B5" s="10" t="s">
        <v>23</v>
      </c>
      <c r="C5" s="10" t="s">
        <v>8</v>
      </c>
      <c r="D5" s="10">
        <v>13</v>
      </c>
      <c r="E5" s="10">
        <v>240</v>
      </c>
      <c r="F5" s="11">
        <v>70</v>
      </c>
      <c r="G5" s="11">
        <f t="shared" si="0"/>
        <v>16800</v>
      </c>
      <c r="H5" s="10">
        <v>202201</v>
      </c>
      <c r="I5" s="23">
        <f t="shared" si="1"/>
        <v>13944</v>
      </c>
      <c r="J5" s="9">
        <f t="shared" si="2"/>
        <v>2856</v>
      </c>
      <c r="K5" s="4" t="str">
        <f t="shared" si="3"/>
        <v>Low Profit</v>
      </c>
      <c r="M5" s="7" t="s">
        <v>145</v>
      </c>
      <c r="N5" s="6">
        <f>SUMIF(F2:F105,N8,G2:G105)</f>
        <v>267960</v>
      </c>
    </row>
    <row r="6" spans="1:19" x14ac:dyDescent="0.3">
      <c r="A6" s="10">
        <v>105</v>
      </c>
      <c r="B6" s="10" t="s">
        <v>24</v>
      </c>
      <c r="C6" s="10" t="s">
        <v>9</v>
      </c>
      <c r="D6" s="10">
        <v>14</v>
      </c>
      <c r="E6" s="10">
        <v>321</v>
      </c>
      <c r="F6" s="11">
        <v>1800</v>
      </c>
      <c r="G6" s="11">
        <f t="shared" si="0"/>
        <v>577800</v>
      </c>
      <c r="H6" s="10">
        <v>202201</v>
      </c>
      <c r="I6" s="23">
        <f t="shared" si="1"/>
        <v>479574</v>
      </c>
      <c r="J6" s="9">
        <f t="shared" si="2"/>
        <v>98226</v>
      </c>
      <c r="K6" s="4" t="str">
        <f t="shared" si="3"/>
        <v>Low Profit</v>
      </c>
    </row>
    <row r="7" spans="1:19" x14ac:dyDescent="0.3">
      <c r="A7" s="10">
        <v>106</v>
      </c>
      <c r="B7" s="10" t="s">
        <v>25</v>
      </c>
      <c r="C7" s="10" t="s">
        <v>10</v>
      </c>
      <c r="D7" s="10">
        <v>15</v>
      </c>
      <c r="E7" s="10">
        <v>105</v>
      </c>
      <c r="F7" s="11">
        <v>600</v>
      </c>
      <c r="G7" s="11">
        <f t="shared" si="0"/>
        <v>63000</v>
      </c>
      <c r="H7" s="10">
        <v>202202</v>
      </c>
      <c r="I7" s="23">
        <f t="shared" si="1"/>
        <v>52290</v>
      </c>
      <c r="J7" s="9">
        <f t="shared" si="2"/>
        <v>10710</v>
      </c>
      <c r="K7" s="4" t="str">
        <f t="shared" si="3"/>
        <v>Low Profit</v>
      </c>
    </row>
    <row r="8" spans="1:19" x14ac:dyDescent="0.3">
      <c r="A8" s="10">
        <v>107</v>
      </c>
      <c r="B8" s="10" t="s">
        <v>26</v>
      </c>
      <c r="C8" s="10" t="s">
        <v>11</v>
      </c>
      <c r="D8" s="10">
        <v>16</v>
      </c>
      <c r="E8" s="10">
        <v>503</v>
      </c>
      <c r="F8" s="11">
        <v>350</v>
      </c>
      <c r="G8" s="11">
        <f t="shared" si="0"/>
        <v>176050</v>
      </c>
      <c r="H8" s="10">
        <v>202202</v>
      </c>
      <c r="I8" s="23">
        <f t="shared" si="1"/>
        <v>146121.5</v>
      </c>
      <c r="J8" s="9">
        <f t="shared" si="2"/>
        <v>29928.5</v>
      </c>
      <c r="K8" s="4" t="str">
        <f t="shared" si="3"/>
        <v>Low Profit</v>
      </c>
      <c r="M8" t="s">
        <v>146</v>
      </c>
      <c r="N8">
        <f>SMALL(F2:F105,3)</f>
        <v>70</v>
      </c>
    </row>
    <row r="9" spans="1:19" x14ac:dyDescent="0.3">
      <c r="A9" s="10">
        <v>108</v>
      </c>
      <c r="B9" s="10" t="s">
        <v>27</v>
      </c>
      <c r="C9" s="10" t="s">
        <v>12</v>
      </c>
      <c r="D9" s="10">
        <v>17</v>
      </c>
      <c r="E9" s="10">
        <v>438</v>
      </c>
      <c r="F9" s="11">
        <v>270</v>
      </c>
      <c r="G9" s="11">
        <f t="shared" si="0"/>
        <v>118260</v>
      </c>
      <c r="H9" s="10">
        <v>202202</v>
      </c>
      <c r="I9" s="23">
        <f t="shared" si="1"/>
        <v>98155.799999999988</v>
      </c>
      <c r="J9" s="9">
        <f t="shared" si="2"/>
        <v>20104.200000000012</v>
      </c>
      <c r="K9" s="4" t="str">
        <f t="shared" si="3"/>
        <v>Low Profit</v>
      </c>
    </row>
    <row r="10" spans="1:19" x14ac:dyDescent="0.3">
      <c r="A10" s="10">
        <v>109</v>
      </c>
      <c r="B10" s="10" t="s">
        <v>28</v>
      </c>
      <c r="C10" s="10" t="s">
        <v>13</v>
      </c>
      <c r="D10" s="10">
        <v>18</v>
      </c>
      <c r="E10" s="10">
        <v>352</v>
      </c>
      <c r="F10" s="11">
        <v>250</v>
      </c>
      <c r="G10" s="11">
        <f t="shared" si="0"/>
        <v>88000</v>
      </c>
      <c r="H10" s="10">
        <v>202202</v>
      </c>
      <c r="I10" s="23">
        <f t="shared" si="1"/>
        <v>73040</v>
      </c>
      <c r="J10" s="9">
        <f t="shared" si="2"/>
        <v>14960</v>
      </c>
      <c r="K10" s="4" t="str">
        <f t="shared" si="3"/>
        <v>Low Profit</v>
      </c>
    </row>
    <row r="11" spans="1:19" ht="15" x14ac:dyDescent="0.3">
      <c r="A11" s="10">
        <v>110</v>
      </c>
      <c r="B11" s="10" t="s">
        <v>29</v>
      </c>
      <c r="C11" s="10" t="s">
        <v>5</v>
      </c>
      <c r="D11" s="10">
        <v>19</v>
      </c>
      <c r="E11" s="10">
        <v>678</v>
      </c>
      <c r="F11" s="11">
        <v>2300</v>
      </c>
      <c r="G11" s="11">
        <f t="shared" si="0"/>
        <v>1559400</v>
      </c>
      <c r="H11" s="10">
        <v>202202</v>
      </c>
      <c r="I11" s="23">
        <f t="shared" si="1"/>
        <v>1294302</v>
      </c>
      <c r="J11" s="9">
        <f t="shared" si="2"/>
        <v>265098</v>
      </c>
      <c r="K11" s="4" t="str">
        <f t="shared" si="3"/>
        <v>Medium Low Profit</v>
      </c>
      <c r="M11" s="24" t="s">
        <v>147</v>
      </c>
    </row>
    <row r="12" spans="1:19" ht="15" x14ac:dyDescent="0.3">
      <c r="A12" s="10">
        <v>111</v>
      </c>
      <c r="B12" s="10" t="s">
        <v>30</v>
      </c>
      <c r="C12" s="10" t="s">
        <v>14</v>
      </c>
      <c r="D12" s="10">
        <v>20</v>
      </c>
      <c r="E12" s="10">
        <v>424</v>
      </c>
      <c r="F12" s="11">
        <v>6800</v>
      </c>
      <c r="G12" s="11">
        <f t="shared" si="0"/>
        <v>2883200</v>
      </c>
      <c r="H12" s="10">
        <v>202203</v>
      </c>
      <c r="I12" s="23">
        <f t="shared" si="1"/>
        <v>2393056</v>
      </c>
      <c r="J12" s="9">
        <f t="shared" si="2"/>
        <v>490144</v>
      </c>
      <c r="K12" s="4" t="str">
        <f t="shared" si="3"/>
        <v>Medium High Profit</v>
      </c>
      <c r="M12" s="24" t="s">
        <v>148</v>
      </c>
    </row>
    <row r="13" spans="1:19" ht="15" x14ac:dyDescent="0.3">
      <c r="A13" s="10">
        <v>112</v>
      </c>
      <c r="B13" s="10" t="s">
        <v>31</v>
      </c>
      <c r="C13" s="10" t="s">
        <v>5</v>
      </c>
      <c r="D13" s="10">
        <v>10</v>
      </c>
      <c r="E13" s="10">
        <v>965</v>
      </c>
      <c r="F13" s="11">
        <v>900</v>
      </c>
      <c r="G13" s="11">
        <f t="shared" si="0"/>
        <v>868500</v>
      </c>
      <c r="H13" s="10">
        <v>202203</v>
      </c>
      <c r="I13" s="23">
        <f t="shared" si="1"/>
        <v>720855</v>
      </c>
      <c r="J13" s="9">
        <f t="shared" si="2"/>
        <v>147645</v>
      </c>
      <c r="K13" s="4" t="str">
        <f t="shared" si="3"/>
        <v>Medium Low Profit</v>
      </c>
      <c r="M13" s="24" t="s">
        <v>149</v>
      </c>
    </row>
    <row r="14" spans="1:19" ht="15.6" x14ac:dyDescent="0.3">
      <c r="A14" s="10">
        <v>113</v>
      </c>
      <c r="B14" s="10" t="s">
        <v>32</v>
      </c>
      <c r="C14" s="10" t="s">
        <v>7</v>
      </c>
      <c r="D14" s="10">
        <v>11</v>
      </c>
      <c r="E14" s="10">
        <v>236</v>
      </c>
      <c r="F14" s="11">
        <v>1200</v>
      </c>
      <c r="G14" s="11">
        <f t="shared" si="0"/>
        <v>283200</v>
      </c>
      <c r="H14" s="10">
        <v>202203</v>
      </c>
      <c r="I14" s="23">
        <f t="shared" si="1"/>
        <v>235056</v>
      </c>
      <c r="J14" s="9">
        <f t="shared" si="2"/>
        <v>48144</v>
      </c>
      <c r="K14" s="4" t="str">
        <f t="shared" si="3"/>
        <v>Low Profit</v>
      </c>
      <c r="M14" s="14" t="s">
        <v>150</v>
      </c>
    </row>
    <row r="15" spans="1:19" x14ac:dyDescent="0.3">
      <c r="A15" s="10">
        <v>114</v>
      </c>
      <c r="B15" s="10" t="s">
        <v>33</v>
      </c>
      <c r="C15" s="10" t="s">
        <v>6</v>
      </c>
      <c r="D15" s="10">
        <v>12</v>
      </c>
      <c r="E15" s="10">
        <v>463</v>
      </c>
      <c r="F15" s="11">
        <v>6600</v>
      </c>
      <c r="G15" s="11">
        <f t="shared" si="0"/>
        <v>3055800</v>
      </c>
      <c r="H15" s="10">
        <v>202203</v>
      </c>
      <c r="I15" s="23">
        <f t="shared" si="1"/>
        <v>2536314</v>
      </c>
      <c r="J15" s="9">
        <f t="shared" si="2"/>
        <v>519486</v>
      </c>
      <c r="K15" s="4" t="str">
        <f t="shared" si="3"/>
        <v>High Profit</v>
      </c>
    </row>
    <row r="16" spans="1:19" x14ac:dyDescent="0.3">
      <c r="A16" s="10">
        <v>115</v>
      </c>
      <c r="B16" s="10" t="s">
        <v>34</v>
      </c>
      <c r="C16" s="10" t="s">
        <v>13</v>
      </c>
      <c r="D16" s="10">
        <v>13</v>
      </c>
      <c r="E16" s="10">
        <v>198</v>
      </c>
      <c r="F16" s="11">
        <v>70</v>
      </c>
      <c r="G16" s="11">
        <f t="shared" si="0"/>
        <v>13860</v>
      </c>
      <c r="H16" s="10">
        <v>202203</v>
      </c>
      <c r="I16" s="23">
        <f t="shared" si="1"/>
        <v>11503.8</v>
      </c>
      <c r="J16" s="9">
        <f t="shared" si="2"/>
        <v>2356.2000000000007</v>
      </c>
      <c r="K16" s="4" t="str">
        <f t="shared" si="3"/>
        <v>Low Profit</v>
      </c>
    </row>
    <row r="17" spans="1:19" x14ac:dyDescent="0.3">
      <c r="A17" s="10">
        <v>116</v>
      </c>
      <c r="B17" s="10" t="s">
        <v>35</v>
      </c>
      <c r="C17" s="10" t="s">
        <v>12</v>
      </c>
      <c r="D17" s="10">
        <v>14</v>
      </c>
      <c r="E17" s="10">
        <v>673</v>
      </c>
      <c r="F17" s="11">
        <v>1800</v>
      </c>
      <c r="G17" s="11">
        <f t="shared" si="0"/>
        <v>1211400</v>
      </c>
      <c r="H17" s="10">
        <v>202204</v>
      </c>
      <c r="I17" s="23">
        <f t="shared" si="1"/>
        <v>1005462</v>
      </c>
      <c r="J17" s="9">
        <f t="shared" si="2"/>
        <v>205938</v>
      </c>
      <c r="K17" s="4" t="str">
        <f t="shared" si="3"/>
        <v>Medium Low Profit</v>
      </c>
    </row>
    <row r="18" spans="1:19" ht="15" thickBot="1" x14ac:dyDescent="0.35">
      <c r="A18" s="10">
        <v>117</v>
      </c>
      <c r="B18" s="10" t="s">
        <v>36</v>
      </c>
      <c r="C18" s="10" t="s">
        <v>11</v>
      </c>
      <c r="D18" s="10">
        <v>15</v>
      </c>
      <c r="E18" s="10">
        <v>392</v>
      </c>
      <c r="F18" s="11">
        <v>600</v>
      </c>
      <c r="G18" s="11">
        <f t="shared" si="0"/>
        <v>235200</v>
      </c>
      <c r="H18" s="10">
        <v>202204</v>
      </c>
      <c r="I18" s="23">
        <f t="shared" si="1"/>
        <v>195216</v>
      </c>
      <c r="J18" s="9">
        <f t="shared" si="2"/>
        <v>39984</v>
      </c>
      <c r="K18" s="4" t="str">
        <f t="shared" si="3"/>
        <v>Low Profit</v>
      </c>
    </row>
    <row r="19" spans="1:19" ht="15" thickBot="1" x14ac:dyDescent="0.35">
      <c r="A19" s="10">
        <v>118</v>
      </c>
      <c r="B19" s="10" t="s">
        <v>37</v>
      </c>
      <c r="C19" s="10" t="s">
        <v>5</v>
      </c>
      <c r="D19" s="10">
        <v>16</v>
      </c>
      <c r="E19" s="10">
        <v>851</v>
      </c>
      <c r="F19" s="11">
        <v>350</v>
      </c>
      <c r="G19" s="11">
        <f t="shared" si="0"/>
        <v>297850</v>
      </c>
      <c r="H19" s="10">
        <v>202204</v>
      </c>
      <c r="I19" s="23">
        <f t="shared" si="1"/>
        <v>247215.5</v>
      </c>
      <c r="J19" s="9">
        <f t="shared" si="2"/>
        <v>50634.5</v>
      </c>
      <c r="K19" s="4" t="str">
        <f t="shared" si="3"/>
        <v>Low Profit</v>
      </c>
      <c r="M19" s="7" t="s">
        <v>140</v>
      </c>
      <c r="N19" s="6">
        <v>103</v>
      </c>
    </row>
    <row r="20" spans="1:19" x14ac:dyDescent="0.3">
      <c r="A20" s="10">
        <v>119</v>
      </c>
      <c r="B20" s="10" t="s">
        <v>38</v>
      </c>
      <c r="C20" s="10" t="s">
        <v>9</v>
      </c>
      <c r="D20" s="10">
        <v>17</v>
      </c>
      <c r="E20" s="10">
        <v>425</v>
      </c>
      <c r="F20" s="11">
        <v>270</v>
      </c>
      <c r="G20" s="11">
        <f t="shared" si="0"/>
        <v>114750</v>
      </c>
      <c r="H20" s="10">
        <v>202204</v>
      </c>
      <c r="I20" s="23">
        <f t="shared" si="1"/>
        <v>95242.5</v>
      </c>
      <c r="J20" s="9">
        <f t="shared" si="2"/>
        <v>19507.5</v>
      </c>
      <c r="K20" s="4" t="str">
        <f t="shared" si="3"/>
        <v>Low Profit</v>
      </c>
    </row>
    <row r="21" spans="1:19" ht="21" x14ac:dyDescent="0.4">
      <c r="A21" s="10">
        <v>120</v>
      </c>
      <c r="B21" s="10" t="s">
        <v>39</v>
      </c>
      <c r="C21" s="10" t="s">
        <v>15</v>
      </c>
      <c r="D21" s="10">
        <v>18</v>
      </c>
      <c r="E21" s="10">
        <v>294</v>
      </c>
      <c r="F21" s="11">
        <v>250</v>
      </c>
      <c r="G21" s="11">
        <f t="shared" si="0"/>
        <v>73500</v>
      </c>
      <c r="H21" s="10">
        <v>202204</v>
      </c>
      <c r="I21" s="23">
        <f t="shared" si="1"/>
        <v>61005</v>
      </c>
      <c r="J21" s="9">
        <f t="shared" si="2"/>
        <v>12495</v>
      </c>
      <c r="K21" s="4" t="str">
        <f t="shared" si="3"/>
        <v>Low Profit</v>
      </c>
      <c r="M21" s="22" t="s">
        <v>123</v>
      </c>
      <c r="N21" s="22"/>
      <c r="O21" s="22"/>
      <c r="P21" s="22"/>
      <c r="Q21" s="22"/>
      <c r="R21" s="22"/>
      <c r="S21" s="22"/>
    </row>
    <row r="22" spans="1:19" x14ac:dyDescent="0.3">
      <c r="A22" s="10">
        <v>121</v>
      </c>
      <c r="B22" s="10" t="s">
        <v>40</v>
      </c>
      <c r="C22" s="10" t="s">
        <v>16</v>
      </c>
      <c r="D22" s="10">
        <v>19</v>
      </c>
      <c r="E22" s="10">
        <v>383</v>
      </c>
      <c r="F22" s="11">
        <v>2300</v>
      </c>
      <c r="G22" s="11">
        <f t="shared" si="0"/>
        <v>880900</v>
      </c>
      <c r="H22" s="10">
        <v>202205</v>
      </c>
      <c r="I22" s="23">
        <f t="shared" si="1"/>
        <v>731147</v>
      </c>
      <c r="J22" s="9">
        <f t="shared" si="2"/>
        <v>149753</v>
      </c>
      <c r="K22" s="4" t="str">
        <f t="shared" si="3"/>
        <v>Medium Low Profit</v>
      </c>
      <c r="M22" s="5" t="s">
        <v>2</v>
      </c>
      <c r="N22" s="5" t="s">
        <v>17</v>
      </c>
      <c r="O22" s="5" t="s">
        <v>3</v>
      </c>
      <c r="P22" s="5" t="s">
        <v>0</v>
      </c>
      <c r="Q22" s="5" t="s">
        <v>19</v>
      </c>
      <c r="R22" s="5" t="s">
        <v>18</v>
      </c>
      <c r="S22" s="5" t="s">
        <v>4</v>
      </c>
    </row>
    <row r="23" spans="1:19" x14ac:dyDescent="0.3">
      <c r="A23" s="10">
        <v>122</v>
      </c>
      <c r="B23" s="10" t="s">
        <v>41</v>
      </c>
      <c r="C23" s="10" t="s">
        <v>8</v>
      </c>
      <c r="D23" s="10">
        <v>20</v>
      </c>
      <c r="E23" s="10">
        <v>298</v>
      </c>
      <c r="F23" s="11">
        <v>6800</v>
      </c>
      <c r="G23" s="11">
        <f t="shared" si="0"/>
        <v>2026400</v>
      </c>
      <c r="H23" s="10">
        <v>202205</v>
      </c>
      <c r="I23" s="23">
        <f t="shared" si="1"/>
        <v>1681912</v>
      </c>
      <c r="J23" s="9">
        <f t="shared" si="2"/>
        <v>344488</v>
      </c>
      <c r="K23" s="4" t="str">
        <f t="shared" si="3"/>
        <v>Medium High Profit</v>
      </c>
      <c r="M23" s="4" t="str">
        <f>VLOOKUP($N$19,$A$2:$H$105,2,0)</f>
        <v>Cathy</v>
      </c>
      <c r="N23" s="4" t="str">
        <f>VLOOKUP($N$19,$A$2:$H$105,3,0)</f>
        <v>CT</v>
      </c>
      <c r="O23" s="4">
        <f>VLOOKUP($N$19,$A$2:$H$105,4,0)</f>
        <v>12</v>
      </c>
      <c r="P23" s="4">
        <f>VLOOKUP($N$19,$A$2:$H$105,5,0)</f>
        <v>300</v>
      </c>
      <c r="Q23" s="4">
        <f>VLOOKUP($N$19,$A$2:$H$105,6,0)</f>
        <v>6600</v>
      </c>
      <c r="R23" s="4">
        <f>VLOOKUP($N$19,$A$2:$H$105,7,0)</f>
        <v>1980000</v>
      </c>
      <c r="S23" s="4">
        <f>VLOOKUP($N$19,$A$2:$H$105,8,0)</f>
        <v>202201</v>
      </c>
    </row>
    <row r="24" spans="1:19" x14ac:dyDescent="0.3">
      <c r="A24" s="10">
        <v>123</v>
      </c>
      <c r="B24" s="10" t="s">
        <v>42</v>
      </c>
      <c r="C24" s="10" t="s">
        <v>12</v>
      </c>
      <c r="D24" s="10">
        <v>10</v>
      </c>
      <c r="E24" s="10">
        <v>283</v>
      </c>
      <c r="F24" s="11">
        <v>900</v>
      </c>
      <c r="G24" s="11">
        <f t="shared" si="0"/>
        <v>254700</v>
      </c>
      <c r="H24" s="10">
        <v>202205</v>
      </c>
      <c r="I24" s="23">
        <f t="shared" si="1"/>
        <v>211401</v>
      </c>
      <c r="J24" s="9">
        <f t="shared" si="2"/>
        <v>43299</v>
      </c>
      <c r="K24" s="4" t="str">
        <f t="shared" si="3"/>
        <v>Low Profit</v>
      </c>
    </row>
    <row r="25" spans="1:19" x14ac:dyDescent="0.3">
      <c r="A25" s="10">
        <v>124</v>
      </c>
      <c r="B25" s="10" t="s">
        <v>43</v>
      </c>
      <c r="C25" s="10" t="s">
        <v>7</v>
      </c>
      <c r="D25" s="10">
        <v>11</v>
      </c>
      <c r="E25" s="10">
        <v>593</v>
      </c>
      <c r="F25" s="11">
        <v>1200</v>
      </c>
      <c r="G25" s="11">
        <f t="shared" si="0"/>
        <v>711600</v>
      </c>
      <c r="H25" s="10">
        <v>202205</v>
      </c>
      <c r="I25" s="23">
        <f t="shared" si="1"/>
        <v>590628</v>
      </c>
      <c r="J25" s="9">
        <f t="shared" si="2"/>
        <v>120972</v>
      </c>
      <c r="K25" s="4" t="str">
        <f t="shared" si="3"/>
        <v>Medium Low Profit</v>
      </c>
    </row>
    <row r="26" spans="1:19" x14ac:dyDescent="0.3">
      <c r="A26" s="10">
        <v>125</v>
      </c>
      <c r="B26" s="10" t="s">
        <v>44</v>
      </c>
      <c r="C26" s="10" t="s">
        <v>6</v>
      </c>
      <c r="D26" s="10">
        <v>12</v>
      </c>
      <c r="E26" s="10">
        <v>296</v>
      </c>
      <c r="F26" s="11">
        <v>6600</v>
      </c>
      <c r="G26" s="11">
        <f t="shared" si="0"/>
        <v>1953600</v>
      </c>
      <c r="H26" s="10">
        <v>202206</v>
      </c>
      <c r="I26" s="23">
        <f t="shared" si="1"/>
        <v>1621488</v>
      </c>
      <c r="J26" s="9">
        <f t="shared" si="2"/>
        <v>332112</v>
      </c>
      <c r="K26" s="4" t="str">
        <f t="shared" si="3"/>
        <v>Medium High Profit</v>
      </c>
    </row>
    <row r="27" spans="1:19" x14ac:dyDescent="0.3">
      <c r="A27" s="10">
        <v>126</v>
      </c>
      <c r="B27" s="10" t="s">
        <v>45</v>
      </c>
      <c r="C27" s="10" t="s">
        <v>15</v>
      </c>
      <c r="D27" s="10">
        <v>13</v>
      </c>
      <c r="E27" s="10">
        <v>519</v>
      </c>
      <c r="F27" s="11">
        <v>70</v>
      </c>
      <c r="G27" s="11">
        <f t="shared" si="0"/>
        <v>36330</v>
      </c>
      <c r="H27" s="10">
        <v>202206</v>
      </c>
      <c r="I27" s="23">
        <f t="shared" si="1"/>
        <v>30153.899999999998</v>
      </c>
      <c r="J27" s="9">
        <f t="shared" si="2"/>
        <v>6176.1000000000022</v>
      </c>
      <c r="K27" s="4" t="str">
        <f t="shared" si="3"/>
        <v>Low Profit</v>
      </c>
    </row>
    <row r="28" spans="1:19" x14ac:dyDescent="0.3">
      <c r="A28" s="10">
        <v>127</v>
      </c>
      <c r="B28" s="10" t="s">
        <v>46</v>
      </c>
      <c r="C28" s="10" t="s">
        <v>5</v>
      </c>
      <c r="D28" s="10">
        <v>10</v>
      </c>
      <c r="E28" s="10">
        <v>800</v>
      </c>
      <c r="F28" s="11">
        <v>900</v>
      </c>
      <c r="G28" s="11">
        <f t="shared" si="0"/>
        <v>720000</v>
      </c>
      <c r="H28" s="10">
        <v>202206</v>
      </c>
      <c r="I28" s="23">
        <f t="shared" si="1"/>
        <v>597600</v>
      </c>
      <c r="J28" s="9">
        <f t="shared" si="2"/>
        <v>122400</v>
      </c>
      <c r="K28" s="4" t="str">
        <f t="shared" si="3"/>
        <v>Medium Low Profit</v>
      </c>
    </row>
    <row r="29" spans="1:19" x14ac:dyDescent="0.3">
      <c r="A29" s="10">
        <v>128</v>
      </c>
      <c r="B29" s="10" t="s">
        <v>47</v>
      </c>
      <c r="C29" s="10" t="s">
        <v>6</v>
      </c>
      <c r="D29" s="10">
        <v>11</v>
      </c>
      <c r="E29" s="10">
        <v>104</v>
      </c>
      <c r="F29" s="11">
        <v>1200</v>
      </c>
      <c r="G29" s="11">
        <f t="shared" si="0"/>
        <v>124800</v>
      </c>
      <c r="H29" s="10">
        <v>202206</v>
      </c>
      <c r="I29" s="23">
        <f t="shared" si="1"/>
        <v>103584</v>
      </c>
      <c r="J29" s="9">
        <f t="shared" si="2"/>
        <v>21216</v>
      </c>
      <c r="K29" s="4" t="str">
        <f t="shared" si="3"/>
        <v>Low Profit</v>
      </c>
    </row>
    <row r="30" spans="1:19" x14ac:dyDescent="0.3">
      <c r="A30" s="10">
        <v>129</v>
      </c>
      <c r="B30" s="10" t="s">
        <v>48</v>
      </c>
      <c r="C30" s="10" t="s">
        <v>7</v>
      </c>
      <c r="D30" s="10">
        <v>12</v>
      </c>
      <c r="E30" s="10">
        <v>300</v>
      </c>
      <c r="F30" s="11">
        <v>6600</v>
      </c>
      <c r="G30" s="11">
        <f t="shared" si="0"/>
        <v>1980000</v>
      </c>
      <c r="H30" s="10">
        <v>202207</v>
      </c>
      <c r="I30" s="23">
        <f t="shared" si="1"/>
        <v>1643400</v>
      </c>
      <c r="J30" s="9">
        <f t="shared" si="2"/>
        <v>336600</v>
      </c>
      <c r="K30" s="4" t="str">
        <f t="shared" si="3"/>
        <v>Medium High Profit</v>
      </c>
    </row>
    <row r="31" spans="1:19" x14ac:dyDescent="0.3">
      <c r="A31" s="10">
        <v>130</v>
      </c>
      <c r="B31" s="10" t="s">
        <v>49</v>
      </c>
      <c r="C31" s="10" t="s">
        <v>8</v>
      </c>
      <c r="D31" s="10">
        <v>13</v>
      </c>
      <c r="E31" s="10">
        <v>240</v>
      </c>
      <c r="F31" s="11">
        <v>70</v>
      </c>
      <c r="G31" s="11">
        <f t="shared" si="0"/>
        <v>16800</v>
      </c>
      <c r="H31" s="10">
        <v>202207</v>
      </c>
      <c r="I31" s="23">
        <f t="shared" si="1"/>
        <v>13944</v>
      </c>
      <c r="J31" s="9">
        <f t="shared" si="2"/>
        <v>2856</v>
      </c>
      <c r="K31" s="4" t="str">
        <f t="shared" si="3"/>
        <v>Low Profit</v>
      </c>
    </row>
    <row r="32" spans="1:19" x14ac:dyDescent="0.3">
      <c r="A32" s="10">
        <v>131</v>
      </c>
      <c r="B32" s="10" t="s">
        <v>50</v>
      </c>
      <c r="C32" s="10" t="s">
        <v>9</v>
      </c>
      <c r="D32" s="10">
        <v>14</v>
      </c>
      <c r="E32" s="10">
        <v>321</v>
      </c>
      <c r="F32" s="11">
        <v>1800</v>
      </c>
      <c r="G32" s="11">
        <f t="shared" si="0"/>
        <v>577800</v>
      </c>
      <c r="H32" s="10">
        <v>202207</v>
      </c>
      <c r="I32" s="23">
        <f t="shared" si="1"/>
        <v>479574</v>
      </c>
      <c r="J32" s="9">
        <f t="shared" si="2"/>
        <v>98226</v>
      </c>
      <c r="K32" s="4" t="str">
        <f t="shared" si="3"/>
        <v>Low Profit</v>
      </c>
    </row>
    <row r="33" spans="1:11" x14ac:dyDescent="0.3">
      <c r="A33" s="10">
        <v>132</v>
      </c>
      <c r="B33" s="10" t="s">
        <v>51</v>
      </c>
      <c r="C33" s="10" t="s">
        <v>10</v>
      </c>
      <c r="D33" s="10">
        <v>15</v>
      </c>
      <c r="E33" s="10">
        <v>105</v>
      </c>
      <c r="F33" s="11">
        <v>600</v>
      </c>
      <c r="G33" s="11">
        <f t="shared" si="0"/>
        <v>63000</v>
      </c>
      <c r="H33" s="10">
        <v>202207</v>
      </c>
      <c r="I33" s="23">
        <f t="shared" si="1"/>
        <v>52290</v>
      </c>
      <c r="J33" s="9">
        <f t="shared" si="2"/>
        <v>10710</v>
      </c>
      <c r="K33" s="4" t="str">
        <f t="shared" si="3"/>
        <v>Low Profit</v>
      </c>
    </row>
    <row r="34" spans="1:11" x14ac:dyDescent="0.3">
      <c r="A34" s="10">
        <v>133</v>
      </c>
      <c r="B34" s="10" t="s">
        <v>52</v>
      </c>
      <c r="C34" s="10" t="s">
        <v>11</v>
      </c>
      <c r="D34" s="10">
        <v>16</v>
      </c>
      <c r="E34" s="10">
        <v>503</v>
      </c>
      <c r="F34" s="11">
        <v>350</v>
      </c>
      <c r="G34" s="11">
        <f t="shared" si="0"/>
        <v>176050</v>
      </c>
      <c r="H34" s="10">
        <v>202207</v>
      </c>
      <c r="I34" s="23">
        <f t="shared" si="1"/>
        <v>146121.5</v>
      </c>
      <c r="J34" s="9">
        <f t="shared" si="2"/>
        <v>29928.5</v>
      </c>
      <c r="K34" s="4" t="str">
        <f t="shared" si="3"/>
        <v>Low Profit</v>
      </c>
    </row>
    <row r="35" spans="1:11" x14ac:dyDescent="0.3">
      <c r="A35" s="10">
        <v>134</v>
      </c>
      <c r="B35" s="10" t="s">
        <v>53</v>
      </c>
      <c r="C35" s="10" t="s">
        <v>12</v>
      </c>
      <c r="D35" s="10">
        <v>17</v>
      </c>
      <c r="E35" s="10">
        <v>438</v>
      </c>
      <c r="F35" s="11">
        <v>270</v>
      </c>
      <c r="G35" s="11">
        <f t="shared" si="0"/>
        <v>118260</v>
      </c>
      <c r="H35" s="10">
        <v>202208</v>
      </c>
      <c r="I35" s="23">
        <f t="shared" si="1"/>
        <v>98155.799999999988</v>
      </c>
      <c r="J35" s="9">
        <f t="shared" si="2"/>
        <v>20104.200000000012</v>
      </c>
      <c r="K35" s="4" t="str">
        <f t="shared" si="3"/>
        <v>Low Profit</v>
      </c>
    </row>
    <row r="36" spans="1:11" x14ac:dyDescent="0.3">
      <c r="A36" s="10">
        <v>135</v>
      </c>
      <c r="B36" s="10" t="s">
        <v>54</v>
      </c>
      <c r="C36" s="10" t="s">
        <v>13</v>
      </c>
      <c r="D36" s="10">
        <v>18</v>
      </c>
      <c r="E36" s="10">
        <v>352</v>
      </c>
      <c r="F36" s="11">
        <v>250</v>
      </c>
      <c r="G36" s="11">
        <f t="shared" si="0"/>
        <v>88000</v>
      </c>
      <c r="H36" s="10">
        <v>202208</v>
      </c>
      <c r="I36" s="23">
        <f t="shared" si="1"/>
        <v>73040</v>
      </c>
      <c r="J36" s="9">
        <f t="shared" si="2"/>
        <v>14960</v>
      </c>
      <c r="K36" s="4" t="str">
        <f t="shared" si="3"/>
        <v>Low Profit</v>
      </c>
    </row>
    <row r="37" spans="1:11" x14ac:dyDescent="0.3">
      <c r="A37" s="10">
        <v>136</v>
      </c>
      <c r="B37" s="10" t="s">
        <v>55</v>
      </c>
      <c r="C37" s="10" t="s">
        <v>5</v>
      </c>
      <c r="D37" s="10">
        <v>19</v>
      </c>
      <c r="E37" s="10">
        <v>678</v>
      </c>
      <c r="F37" s="11">
        <v>2300</v>
      </c>
      <c r="G37" s="11">
        <f t="shared" si="0"/>
        <v>1559400</v>
      </c>
      <c r="H37" s="10">
        <v>202208</v>
      </c>
      <c r="I37" s="23">
        <f t="shared" si="1"/>
        <v>1294302</v>
      </c>
      <c r="J37" s="9">
        <f t="shared" si="2"/>
        <v>265098</v>
      </c>
      <c r="K37" s="4" t="str">
        <f t="shared" si="3"/>
        <v>Medium Low Profit</v>
      </c>
    </row>
    <row r="38" spans="1:11" x14ac:dyDescent="0.3">
      <c r="A38" s="10">
        <v>137</v>
      </c>
      <c r="B38" s="10" t="s">
        <v>56</v>
      </c>
      <c r="C38" s="10" t="s">
        <v>14</v>
      </c>
      <c r="D38" s="10">
        <v>20</v>
      </c>
      <c r="E38" s="10">
        <v>424</v>
      </c>
      <c r="F38" s="11">
        <v>6800</v>
      </c>
      <c r="G38" s="11">
        <f t="shared" si="0"/>
        <v>2883200</v>
      </c>
      <c r="H38" s="10">
        <v>202208</v>
      </c>
      <c r="I38" s="23">
        <f t="shared" si="1"/>
        <v>2393056</v>
      </c>
      <c r="J38" s="9">
        <f t="shared" si="2"/>
        <v>490144</v>
      </c>
      <c r="K38" s="4" t="str">
        <f t="shared" si="3"/>
        <v>Medium High Profit</v>
      </c>
    </row>
    <row r="39" spans="1:11" x14ac:dyDescent="0.3">
      <c r="A39" s="10">
        <v>138</v>
      </c>
      <c r="B39" s="10" t="s">
        <v>57</v>
      </c>
      <c r="C39" s="10" t="s">
        <v>5</v>
      </c>
      <c r="D39" s="10">
        <v>10</v>
      </c>
      <c r="E39" s="10">
        <v>965</v>
      </c>
      <c r="F39" s="11">
        <v>900</v>
      </c>
      <c r="G39" s="11">
        <f t="shared" si="0"/>
        <v>868500</v>
      </c>
      <c r="H39" s="10">
        <v>202209</v>
      </c>
      <c r="I39" s="23">
        <f t="shared" si="1"/>
        <v>720855</v>
      </c>
      <c r="J39" s="9">
        <f t="shared" si="2"/>
        <v>147645</v>
      </c>
      <c r="K39" s="4" t="str">
        <f t="shared" si="3"/>
        <v>Medium Low Profit</v>
      </c>
    </row>
    <row r="40" spans="1:11" x14ac:dyDescent="0.3">
      <c r="A40" s="10">
        <v>139</v>
      </c>
      <c r="B40" s="10" t="s">
        <v>58</v>
      </c>
      <c r="C40" s="10" t="s">
        <v>7</v>
      </c>
      <c r="D40" s="10">
        <v>11</v>
      </c>
      <c r="E40" s="10">
        <v>236</v>
      </c>
      <c r="F40" s="11">
        <v>1200</v>
      </c>
      <c r="G40" s="11">
        <f t="shared" si="0"/>
        <v>283200</v>
      </c>
      <c r="H40" s="10">
        <v>202209</v>
      </c>
      <c r="I40" s="23">
        <f t="shared" si="1"/>
        <v>235056</v>
      </c>
      <c r="J40" s="9">
        <f t="shared" si="2"/>
        <v>48144</v>
      </c>
      <c r="K40" s="4" t="str">
        <f t="shared" si="3"/>
        <v>Low Profit</v>
      </c>
    </row>
    <row r="41" spans="1:11" x14ac:dyDescent="0.3">
      <c r="A41" s="10">
        <v>140</v>
      </c>
      <c r="B41" s="10" t="s">
        <v>59</v>
      </c>
      <c r="C41" s="10" t="s">
        <v>6</v>
      </c>
      <c r="D41" s="10">
        <v>12</v>
      </c>
      <c r="E41" s="10">
        <v>463</v>
      </c>
      <c r="F41" s="11">
        <v>6600</v>
      </c>
      <c r="G41" s="11">
        <f t="shared" si="0"/>
        <v>3055800</v>
      </c>
      <c r="H41" s="10">
        <v>202209</v>
      </c>
      <c r="I41" s="23">
        <f t="shared" si="1"/>
        <v>2536314</v>
      </c>
      <c r="J41" s="9">
        <f t="shared" si="2"/>
        <v>519486</v>
      </c>
      <c r="K41" s="4" t="str">
        <f t="shared" si="3"/>
        <v>High Profit</v>
      </c>
    </row>
    <row r="42" spans="1:11" x14ac:dyDescent="0.3">
      <c r="A42" s="10">
        <v>141</v>
      </c>
      <c r="B42" s="10" t="s">
        <v>60</v>
      </c>
      <c r="C42" s="10" t="s">
        <v>13</v>
      </c>
      <c r="D42" s="10">
        <v>13</v>
      </c>
      <c r="E42" s="10">
        <v>198</v>
      </c>
      <c r="F42" s="11">
        <v>70</v>
      </c>
      <c r="G42" s="11">
        <f t="shared" si="0"/>
        <v>13860</v>
      </c>
      <c r="H42" s="10">
        <v>202209</v>
      </c>
      <c r="I42" s="23">
        <f t="shared" si="1"/>
        <v>11503.8</v>
      </c>
      <c r="J42" s="9">
        <f t="shared" si="2"/>
        <v>2356.2000000000007</v>
      </c>
      <c r="K42" s="4" t="str">
        <f t="shared" si="3"/>
        <v>Low Profit</v>
      </c>
    </row>
    <row r="43" spans="1:11" x14ac:dyDescent="0.3">
      <c r="A43" s="10">
        <v>142</v>
      </c>
      <c r="B43" s="10" t="s">
        <v>61</v>
      </c>
      <c r="C43" s="10" t="s">
        <v>12</v>
      </c>
      <c r="D43" s="10">
        <v>14</v>
      </c>
      <c r="E43" s="10">
        <v>673</v>
      </c>
      <c r="F43" s="11">
        <v>1800</v>
      </c>
      <c r="G43" s="11">
        <f t="shared" si="0"/>
        <v>1211400</v>
      </c>
      <c r="H43" s="10">
        <v>202209</v>
      </c>
      <c r="I43" s="23">
        <f t="shared" si="1"/>
        <v>1005462</v>
      </c>
      <c r="J43" s="9">
        <f t="shared" si="2"/>
        <v>205938</v>
      </c>
      <c r="K43" s="4" t="str">
        <f t="shared" si="3"/>
        <v>Medium Low Profit</v>
      </c>
    </row>
    <row r="44" spans="1:11" x14ac:dyDescent="0.3">
      <c r="A44" s="10">
        <v>143</v>
      </c>
      <c r="B44" s="10" t="s">
        <v>62</v>
      </c>
      <c r="C44" s="10" t="s">
        <v>11</v>
      </c>
      <c r="D44" s="10">
        <v>15</v>
      </c>
      <c r="E44" s="10">
        <v>392</v>
      </c>
      <c r="F44" s="11">
        <v>600</v>
      </c>
      <c r="G44" s="11">
        <f t="shared" si="0"/>
        <v>235200</v>
      </c>
      <c r="H44" s="10">
        <v>202210</v>
      </c>
      <c r="I44" s="23">
        <f t="shared" si="1"/>
        <v>195216</v>
      </c>
      <c r="J44" s="9">
        <f t="shared" si="2"/>
        <v>39984</v>
      </c>
      <c r="K44" s="4" t="str">
        <f t="shared" si="3"/>
        <v>Low Profit</v>
      </c>
    </row>
    <row r="45" spans="1:11" x14ac:dyDescent="0.3">
      <c r="A45" s="10">
        <v>144</v>
      </c>
      <c r="B45" s="10" t="s">
        <v>63</v>
      </c>
      <c r="C45" s="10" t="s">
        <v>5</v>
      </c>
      <c r="D45" s="10">
        <v>16</v>
      </c>
      <c r="E45" s="10">
        <v>851</v>
      </c>
      <c r="F45" s="11">
        <v>350</v>
      </c>
      <c r="G45" s="11">
        <f t="shared" si="0"/>
        <v>297850</v>
      </c>
      <c r="H45" s="10">
        <v>202210</v>
      </c>
      <c r="I45" s="23">
        <f t="shared" si="1"/>
        <v>247215.5</v>
      </c>
      <c r="J45" s="9">
        <f t="shared" si="2"/>
        <v>50634.5</v>
      </c>
      <c r="K45" s="4" t="str">
        <f t="shared" si="3"/>
        <v>Low Profit</v>
      </c>
    </row>
    <row r="46" spans="1:11" x14ac:dyDescent="0.3">
      <c r="A46" s="10">
        <v>145</v>
      </c>
      <c r="B46" s="10" t="s">
        <v>64</v>
      </c>
      <c r="C46" s="10" t="s">
        <v>9</v>
      </c>
      <c r="D46" s="10">
        <v>17</v>
      </c>
      <c r="E46" s="10">
        <v>425</v>
      </c>
      <c r="F46" s="11">
        <v>270</v>
      </c>
      <c r="G46" s="11">
        <f t="shared" si="0"/>
        <v>114750</v>
      </c>
      <c r="H46" s="10">
        <v>202210</v>
      </c>
      <c r="I46" s="23">
        <f t="shared" si="1"/>
        <v>95242.5</v>
      </c>
      <c r="J46" s="9">
        <f t="shared" si="2"/>
        <v>19507.5</v>
      </c>
      <c r="K46" s="4" t="str">
        <f t="shared" si="3"/>
        <v>Low Profit</v>
      </c>
    </row>
    <row r="47" spans="1:11" x14ac:dyDescent="0.3">
      <c r="A47" s="10">
        <v>146</v>
      </c>
      <c r="B47" s="10" t="s">
        <v>65</v>
      </c>
      <c r="C47" s="10" t="s">
        <v>15</v>
      </c>
      <c r="D47" s="10">
        <v>18</v>
      </c>
      <c r="E47" s="10">
        <v>294</v>
      </c>
      <c r="F47" s="11">
        <v>250</v>
      </c>
      <c r="G47" s="11">
        <f t="shared" si="0"/>
        <v>73500</v>
      </c>
      <c r="H47" s="10">
        <v>202210</v>
      </c>
      <c r="I47" s="23">
        <f t="shared" si="1"/>
        <v>61005</v>
      </c>
      <c r="J47" s="9">
        <f t="shared" si="2"/>
        <v>12495</v>
      </c>
      <c r="K47" s="4" t="str">
        <f t="shared" si="3"/>
        <v>Low Profit</v>
      </c>
    </row>
    <row r="48" spans="1:11" x14ac:dyDescent="0.3">
      <c r="A48" s="10">
        <v>147</v>
      </c>
      <c r="B48" s="10" t="s">
        <v>66</v>
      </c>
      <c r="C48" s="10" t="s">
        <v>16</v>
      </c>
      <c r="D48" s="10">
        <v>19</v>
      </c>
      <c r="E48" s="10">
        <v>383</v>
      </c>
      <c r="F48" s="11">
        <v>2300</v>
      </c>
      <c r="G48" s="11">
        <f t="shared" si="0"/>
        <v>880900</v>
      </c>
      <c r="H48" s="10">
        <v>202210</v>
      </c>
      <c r="I48" s="23">
        <f t="shared" si="1"/>
        <v>731147</v>
      </c>
      <c r="J48" s="9">
        <f t="shared" si="2"/>
        <v>149753</v>
      </c>
      <c r="K48" s="4" t="str">
        <f t="shared" si="3"/>
        <v>Medium Low Profit</v>
      </c>
    </row>
    <row r="49" spans="1:11" x14ac:dyDescent="0.3">
      <c r="A49" s="10">
        <v>148</v>
      </c>
      <c r="B49" s="10" t="s">
        <v>67</v>
      </c>
      <c r="C49" s="10" t="s">
        <v>8</v>
      </c>
      <c r="D49" s="10">
        <v>20</v>
      </c>
      <c r="E49" s="10">
        <v>298</v>
      </c>
      <c r="F49" s="11">
        <v>6800</v>
      </c>
      <c r="G49" s="11">
        <f t="shared" si="0"/>
        <v>2026400</v>
      </c>
      <c r="H49" s="10">
        <v>202211</v>
      </c>
      <c r="I49" s="23">
        <f t="shared" si="1"/>
        <v>1681912</v>
      </c>
      <c r="J49" s="9">
        <f t="shared" si="2"/>
        <v>344488</v>
      </c>
      <c r="K49" s="4" t="str">
        <f t="shared" si="3"/>
        <v>Medium High Profit</v>
      </c>
    </row>
    <row r="50" spans="1:11" x14ac:dyDescent="0.3">
      <c r="A50" s="10">
        <v>149</v>
      </c>
      <c r="B50" s="10" t="s">
        <v>68</v>
      </c>
      <c r="C50" s="10" t="s">
        <v>12</v>
      </c>
      <c r="D50" s="10">
        <v>10</v>
      </c>
      <c r="E50" s="10">
        <v>283</v>
      </c>
      <c r="F50" s="11">
        <v>900</v>
      </c>
      <c r="G50" s="11">
        <f t="shared" si="0"/>
        <v>254700</v>
      </c>
      <c r="H50" s="10">
        <v>202211</v>
      </c>
      <c r="I50" s="23">
        <f t="shared" si="1"/>
        <v>211401</v>
      </c>
      <c r="J50" s="9">
        <f t="shared" si="2"/>
        <v>43299</v>
      </c>
      <c r="K50" s="4" t="str">
        <f t="shared" si="3"/>
        <v>Low Profit</v>
      </c>
    </row>
    <row r="51" spans="1:11" x14ac:dyDescent="0.3">
      <c r="A51" s="10">
        <v>150</v>
      </c>
      <c r="B51" s="10" t="s">
        <v>69</v>
      </c>
      <c r="C51" s="10" t="s">
        <v>7</v>
      </c>
      <c r="D51" s="10">
        <v>11</v>
      </c>
      <c r="E51" s="10">
        <v>593</v>
      </c>
      <c r="F51" s="11">
        <v>1200</v>
      </c>
      <c r="G51" s="11">
        <f t="shared" si="0"/>
        <v>711600</v>
      </c>
      <c r="H51" s="10">
        <v>202211</v>
      </c>
      <c r="I51" s="23">
        <f t="shared" si="1"/>
        <v>590628</v>
      </c>
      <c r="J51" s="9">
        <f t="shared" si="2"/>
        <v>120972</v>
      </c>
      <c r="K51" s="4" t="str">
        <f t="shared" si="3"/>
        <v>Medium Low Profit</v>
      </c>
    </row>
    <row r="52" spans="1:11" x14ac:dyDescent="0.3">
      <c r="A52" s="10">
        <v>151</v>
      </c>
      <c r="B52" s="10" t="s">
        <v>70</v>
      </c>
      <c r="C52" s="10" t="s">
        <v>6</v>
      </c>
      <c r="D52" s="10">
        <v>12</v>
      </c>
      <c r="E52" s="10">
        <v>296</v>
      </c>
      <c r="F52" s="11">
        <v>6600</v>
      </c>
      <c r="G52" s="11">
        <f t="shared" si="0"/>
        <v>1953600</v>
      </c>
      <c r="H52" s="10">
        <v>202211</v>
      </c>
      <c r="I52" s="23">
        <f t="shared" si="1"/>
        <v>1621488</v>
      </c>
      <c r="J52" s="9">
        <f t="shared" si="2"/>
        <v>332112</v>
      </c>
      <c r="K52" s="4" t="str">
        <f t="shared" si="3"/>
        <v>Medium High Profit</v>
      </c>
    </row>
    <row r="53" spans="1:11" x14ac:dyDescent="0.3">
      <c r="A53" s="10">
        <v>152</v>
      </c>
      <c r="B53" s="10" t="s">
        <v>71</v>
      </c>
      <c r="C53" s="10" t="s">
        <v>5</v>
      </c>
      <c r="D53" s="10">
        <v>13</v>
      </c>
      <c r="E53" s="10">
        <v>519</v>
      </c>
      <c r="F53" s="11">
        <v>70</v>
      </c>
      <c r="G53" s="11">
        <f t="shared" si="0"/>
        <v>36330</v>
      </c>
      <c r="H53" s="10">
        <v>202211</v>
      </c>
      <c r="I53" s="23">
        <f t="shared" si="1"/>
        <v>30153.899999999998</v>
      </c>
      <c r="J53" s="9">
        <f t="shared" si="2"/>
        <v>6176.1000000000022</v>
      </c>
      <c r="K53" s="4" t="str">
        <f t="shared" si="3"/>
        <v>Low Profit</v>
      </c>
    </row>
    <row r="54" spans="1:11" x14ac:dyDescent="0.3">
      <c r="A54" s="10">
        <v>153</v>
      </c>
      <c r="B54" s="10" t="s">
        <v>72</v>
      </c>
      <c r="C54" s="10" t="s">
        <v>5</v>
      </c>
      <c r="D54" s="10">
        <v>10</v>
      </c>
      <c r="E54" s="10">
        <v>800</v>
      </c>
      <c r="F54" s="11">
        <v>900</v>
      </c>
      <c r="G54" s="11">
        <f t="shared" si="0"/>
        <v>720000</v>
      </c>
      <c r="H54" s="10">
        <v>202212</v>
      </c>
      <c r="I54" s="23">
        <f t="shared" si="1"/>
        <v>597600</v>
      </c>
      <c r="J54" s="9">
        <f t="shared" si="2"/>
        <v>122400</v>
      </c>
      <c r="K54" s="4" t="str">
        <f t="shared" si="3"/>
        <v>Medium Low Profit</v>
      </c>
    </row>
    <row r="55" spans="1:11" x14ac:dyDescent="0.3">
      <c r="A55" s="10">
        <v>154</v>
      </c>
      <c r="B55" s="10" t="s">
        <v>73</v>
      </c>
      <c r="C55" s="10" t="s">
        <v>6</v>
      </c>
      <c r="D55" s="10">
        <v>11</v>
      </c>
      <c r="E55" s="10">
        <v>104</v>
      </c>
      <c r="F55" s="11">
        <v>1200</v>
      </c>
      <c r="G55" s="11">
        <f t="shared" si="0"/>
        <v>124800</v>
      </c>
      <c r="H55" s="10">
        <v>202212</v>
      </c>
      <c r="I55" s="23">
        <f t="shared" si="1"/>
        <v>103584</v>
      </c>
      <c r="J55" s="9">
        <f t="shared" si="2"/>
        <v>21216</v>
      </c>
      <c r="K55" s="4" t="str">
        <f t="shared" si="3"/>
        <v>Low Profit</v>
      </c>
    </row>
    <row r="56" spans="1:11" x14ac:dyDescent="0.3">
      <c r="A56" s="10">
        <v>155</v>
      </c>
      <c r="B56" s="10" t="s">
        <v>74</v>
      </c>
      <c r="C56" s="10" t="s">
        <v>7</v>
      </c>
      <c r="D56" s="10">
        <v>12</v>
      </c>
      <c r="E56" s="10">
        <v>300</v>
      </c>
      <c r="F56" s="11">
        <v>6600</v>
      </c>
      <c r="G56" s="11">
        <f t="shared" si="0"/>
        <v>1980000</v>
      </c>
      <c r="H56" s="10">
        <v>202212</v>
      </c>
      <c r="I56" s="23">
        <f t="shared" si="1"/>
        <v>1643400</v>
      </c>
      <c r="J56" s="9">
        <f t="shared" si="2"/>
        <v>336600</v>
      </c>
      <c r="K56" s="4" t="str">
        <f t="shared" si="3"/>
        <v>Medium High Profit</v>
      </c>
    </row>
    <row r="57" spans="1:11" x14ac:dyDescent="0.3">
      <c r="A57" s="10">
        <v>156</v>
      </c>
      <c r="B57" s="10" t="s">
        <v>75</v>
      </c>
      <c r="C57" s="10" t="s">
        <v>8</v>
      </c>
      <c r="D57" s="10">
        <v>13</v>
      </c>
      <c r="E57" s="10">
        <v>240</v>
      </c>
      <c r="F57" s="11">
        <v>70</v>
      </c>
      <c r="G57" s="11">
        <f t="shared" si="0"/>
        <v>16800</v>
      </c>
      <c r="H57" s="10">
        <v>202212</v>
      </c>
      <c r="I57" s="23">
        <f t="shared" si="1"/>
        <v>13944</v>
      </c>
      <c r="J57" s="9">
        <f t="shared" si="2"/>
        <v>2856</v>
      </c>
      <c r="K57" s="4" t="str">
        <f t="shared" si="3"/>
        <v>Low Profit</v>
      </c>
    </row>
    <row r="58" spans="1:11" x14ac:dyDescent="0.3">
      <c r="A58" s="10">
        <v>157</v>
      </c>
      <c r="B58" s="10" t="s">
        <v>76</v>
      </c>
      <c r="C58" s="10" t="s">
        <v>9</v>
      </c>
      <c r="D58" s="10">
        <v>14</v>
      </c>
      <c r="E58" s="10">
        <v>321</v>
      </c>
      <c r="F58" s="11">
        <v>1800</v>
      </c>
      <c r="G58" s="11">
        <f t="shared" si="0"/>
        <v>577800</v>
      </c>
      <c r="H58" s="10">
        <v>202301</v>
      </c>
      <c r="I58" s="23">
        <f t="shared" si="1"/>
        <v>479574</v>
      </c>
      <c r="J58" s="9">
        <f t="shared" si="2"/>
        <v>98226</v>
      </c>
      <c r="K58" s="4" t="str">
        <f t="shared" si="3"/>
        <v>Low Profit</v>
      </c>
    </row>
    <row r="59" spans="1:11" x14ac:dyDescent="0.3">
      <c r="A59" s="10">
        <v>158</v>
      </c>
      <c r="B59" s="10" t="s">
        <v>77</v>
      </c>
      <c r="C59" s="10" t="s">
        <v>10</v>
      </c>
      <c r="D59" s="10">
        <v>15</v>
      </c>
      <c r="E59" s="10">
        <v>105</v>
      </c>
      <c r="F59" s="11">
        <v>600</v>
      </c>
      <c r="G59" s="11">
        <f t="shared" si="0"/>
        <v>63000</v>
      </c>
      <c r="H59" s="10">
        <v>202301</v>
      </c>
      <c r="I59" s="23">
        <f t="shared" si="1"/>
        <v>52290</v>
      </c>
      <c r="J59" s="9">
        <f t="shared" si="2"/>
        <v>10710</v>
      </c>
      <c r="K59" s="4" t="str">
        <f t="shared" si="3"/>
        <v>Low Profit</v>
      </c>
    </row>
    <row r="60" spans="1:11" x14ac:dyDescent="0.3">
      <c r="A60" s="10">
        <v>159</v>
      </c>
      <c r="B60" s="10" t="s">
        <v>78</v>
      </c>
      <c r="C60" s="10" t="s">
        <v>11</v>
      </c>
      <c r="D60" s="10">
        <v>16</v>
      </c>
      <c r="E60" s="10">
        <v>503</v>
      </c>
      <c r="F60" s="11">
        <v>350</v>
      </c>
      <c r="G60" s="11">
        <f t="shared" si="0"/>
        <v>176050</v>
      </c>
      <c r="H60" s="10">
        <v>202301</v>
      </c>
      <c r="I60" s="23">
        <f t="shared" si="1"/>
        <v>146121.5</v>
      </c>
      <c r="J60" s="9">
        <f t="shared" si="2"/>
        <v>29928.5</v>
      </c>
      <c r="K60" s="4" t="str">
        <f t="shared" si="3"/>
        <v>Low Profit</v>
      </c>
    </row>
    <row r="61" spans="1:11" x14ac:dyDescent="0.3">
      <c r="A61" s="10">
        <v>160</v>
      </c>
      <c r="B61" s="10" t="s">
        <v>79</v>
      </c>
      <c r="C61" s="10" t="s">
        <v>12</v>
      </c>
      <c r="D61" s="10">
        <v>17</v>
      </c>
      <c r="E61" s="10">
        <v>438</v>
      </c>
      <c r="F61" s="11">
        <v>270</v>
      </c>
      <c r="G61" s="11">
        <f t="shared" si="0"/>
        <v>118260</v>
      </c>
      <c r="H61" s="10">
        <v>202301</v>
      </c>
      <c r="I61" s="23">
        <f t="shared" si="1"/>
        <v>98155.799999999988</v>
      </c>
      <c r="J61" s="9">
        <f t="shared" si="2"/>
        <v>20104.200000000012</v>
      </c>
      <c r="K61" s="4" t="str">
        <f t="shared" si="3"/>
        <v>Low Profit</v>
      </c>
    </row>
    <row r="62" spans="1:11" x14ac:dyDescent="0.3">
      <c r="A62" s="10">
        <v>161</v>
      </c>
      <c r="B62" s="10" t="s">
        <v>80</v>
      </c>
      <c r="C62" s="10" t="s">
        <v>13</v>
      </c>
      <c r="D62" s="10">
        <v>18</v>
      </c>
      <c r="E62" s="10">
        <v>352</v>
      </c>
      <c r="F62" s="11">
        <v>250</v>
      </c>
      <c r="G62" s="11">
        <f t="shared" si="0"/>
        <v>88000</v>
      </c>
      <c r="H62" s="10">
        <v>202302</v>
      </c>
      <c r="I62" s="23">
        <f t="shared" si="1"/>
        <v>73040</v>
      </c>
      <c r="J62" s="9">
        <f t="shared" si="2"/>
        <v>14960</v>
      </c>
      <c r="K62" s="4" t="str">
        <f t="shared" si="3"/>
        <v>Low Profit</v>
      </c>
    </row>
    <row r="63" spans="1:11" x14ac:dyDescent="0.3">
      <c r="A63" s="10">
        <v>162</v>
      </c>
      <c r="B63" s="10" t="s">
        <v>81</v>
      </c>
      <c r="C63" s="10" t="s">
        <v>5</v>
      </c>
      <c r="D63" s="10">
        <v>19</v>
      </c>
      <c r="E63" s="10">
        <v>678</v>
      </c>
      <c r="F63" s="11">
        <v>2300</v>
      </c>
      <c r="G63" s="11">
        <f t="shared" si="0"/>
        <v>1559400</v>
      </c>
      <c r="H63" s="10">
        <v>202302</v>
      </c>
      <c r="I63" s="23">
        <f t="shared" si="1"/>
        <v>1294302</v>
      </c>
      <c r="J63" s="9">
        <f t="shared" si="2"/>
        <v>265098</v>
      </c>
      <c r="K63" s="4" t="str">
        <f t="shared" si="3"/>
        <v>Medium Low Profit</v>
      </c>
    </row>
    <row r="64" spans="1:11" x14ac:dyDescent="0.3">
      <c r="A64" s="10">
        <v>163</v>
      </c>
      <c r="B64" s="10" t="s">
        <v>82</v>
      </c>
      <c r="C64" s="10" t="s">
        <v>14</v>
      </c>
      <c r="D64" s="10">
        <v>20</v>
      </c>
      <c r="E64" s="10">
        <v>424</v>
      </c>
      <c r="F64" s="11">
        <v>6800</v>
      </c>
      <c r="G64" s="11">
        <f t="shared" si="0"/>
        <v>2883200</v>
      </c>
      <c r="H64" s="10">
        <v>202302</v>
      </c>
      <c r="I64" s="23">
        <f t="shared" si="1"/>
        <v>2393056</v>
      </c>
      <c r="J64" s="9">
        <f t="shared" si="2"/>
        <v>490144</v>
      </c>
      <c r="K64" s="4" t="str">
        <f t="shared" si="3"/>
        <v>Medium High Profit</v>
      </c>
    </row>
    <row r="65" spans="1:11" x14ac:dyDescent="0.3">
      <c r="A65" s="10">
        <v>164</v>
      </c>
      <c r="B65" s="10" t="s">
        <v>83</v>
      </c>
      <c r="C65" s="10" t="s">
        <v>5</v>
      </c>
      <c r="D65" s="10">
        <v>10</v>
      </c>
      <c r="E65" s="10">
        <v>965</v>
      </c>
      <c r="F65" s="11">
        <v>900</v>
      </c>
      <c r="G65" s="11">
        <f t="shared" si="0"/>
        <v>868500</v>
      </c>
      <c r="H65" s="10">
        <v>202302</v>
      </c>
      <c r="I65" s="23">
        <f t="shared" si="1"/>
        <v>720855</v>
      </c>
      <c r="J65" s="9">
        <f t="shared" si="2"/>
        <v>147645</v>
      </c>
      <c r="K65" s="4" t="str">
        <f t="shared" si="3"/>
        <v>Medium Low Profit</v>
      </c>
    </row>
    <row r="66" spans="1:11" x14ac:dyDescent="0.3">
      <c r="A66" s="10">
        <v>165</v>
      </c>
      <c r="B66" s="10" t="s">
        <v>84</v>
      </c>
      <c r="C66" s="10" t="s">
        <v>7</v>
      </c>
      <c r="D66" s="10">
        <v>11</v>
      </c>
      <c r="E66" s="10">
        <v>236</v>
      </c>
      <c r="F66" s="11">
        <v>1200</v>
      </c>
      <c r="G66" s="11">
        <f t="shared" si="0"/>
        <v>283200</v>
      </c>
      <c r="H66" s="10">
        <v>202303</v>
      </c>
      <c r="I66" s="23">
        <f t="shared" si="1"/>
        <v>235056</v>
      </c>
      <c r="J66" s="9">
        <f t="shared" si="2"/>
        <v>48144</v>
      </c>
      <c r="K66" s="4" t="str">
        <f t="shared" si="3"/>
        <v>Low Profit</v>
      </c>
    </row>
    <row r="67" spans="1:11" x14ac:dyDescent="0.3">
      <c r="A67" s="10">
        <v>166</v>
      </c>
      <c r="B67" s="10" t="s">
        <v>85</v>
      </c>
      <c r="C67" s="10" t="s">
        <v>6</v>
      </c>
      <c r="D67" s="10">
        <v>12</v>
      </c>
      <c r="E67" s="10">
        <v>463</v>
      </c>
      <c r="F67" s="11">
        <v>6600</v>
      </c>
      <c r="G67" s="11">
        <f t="shared" ref="G67:G105" si="4">E67*F67</f>
        <v>3055800</v>
      </c>
      <c r="H67" s="10">
        <v>202303</v>
      </c>
      <c r="I67" s="23">
        <f t="shared" ref="I67:I105" si="5">83%*G67</f>
        <v>2536314</v>
      </c>
      <c r="J67" s="9">
        <f t="shared" ref="J67:J105" si="6">G67-I67</f>
        <v>519486</v>
      </c>
      <c r="K67" s="4" t="str">
        <f t="shared" ref="K67:K105" si="7">_xlfn.IFS(J67&gt;500000,"High Profit",J67&gt;=300000,"Medium High Profit",J67&gt;=100000,"Medium Low Profit",J67&lt;100000,"Low Profit")</f>
        <v>High Profit</v>
      </c>
    </row>
    <row r="68" spans="1:11" x14ac:dyDescent="0.3">
      <c r="A68" s="10">
        <v>167</v>
      </c>
      <c r="B68" s="10" t="s">
        <v>86</v>
      </c>
      <c r="C68" s="10" t="s">
        <v>13</v>
      </c>
      <c r="D68" s="10">
        <v>13</v>
      </c>
      <c r="E68" s="10">
        <v>198</v>
      </c>
      <c r="F68" s="11">
        <v>70</v>
      </c>
      <c r="G68" s="11">
        <f t="shared" si="4"/>
        <v>13860</v>
      </c>
      <c r="H68" s="10">
        <v>202303</v>
      </c>
      <c r="I68" s="23">
        <f t="shared" si="5"/>
        <v>11503.8</v>
      </c>
      <c r="J68" s="9">
        <f t="shared" si="6"/>
        <v>2356.2000000000007</v>
      </c>
      <c r="K68" s="4" t="str">
        <f t="shared" si="7"/>
        <v>Low Profit</v>
      </c>
    </row>
    <row r="69" spans="1:11" x14ac:dyDescent="0.3">
      <c r="A69" s="10">
        <v>168</v>
      </c>
      <c r="B69" s="10" t="s">
        <v>87</v>
      </c>
      <c r="C69" s="10" t="s">
        <v>12</v>
      </c>
      <c r="D69" s="10">
        <v>14</v>
      </c>
      <c r="E69" s="10">
        <v>673</v>
      </c>
      <c r="F69" s="11">
        <v>1800</v>
      </c>
      <c r="G69" s="11">
        <f t="shared" si="4"/>
        <v>1211400</v>
      </c>
      <c r="H69" s="10">
        <v>202303</v>
      </c>
      <c r="I69" s="23">
        <f t="shared" si="5"/>
        <v>1005462</v>
      </c>
      <c r="J69" s="9">
        <f t="shared" si="6"/>
        <v>205938</v>
      </c>
      <c r="K69" s="4" t="str">
        <f t="shared" si="7"/>
        <v>Medium Low Profit</v>
      </c>
    </row>
    <row r="70" spans="1:11" x14ac:dyDescent="0.3">
      <c r="A70" s="10">
        <v>169</v>
      </c>
      <c r="B70" s="10" t="s">
        <v>88</v>
      </c>
      <c r="C70" s="10" t="s">
        <v>11</v>
      </c>
      <c r="D70" s="10">
        <v>15</v>
      </c>
      <c r="E70" s="10">
        <v>392</v>
      </c>
      <c r="F70" s="11">
        <v>600</v>
      </c>
      <c r="G70" s="11">
        <f t="shared" si="4"/>
        <v>235200</v>
      </c>
      <c r="H70" s="10">
        <v>202303</v>
      </c>
      <c r="I70" s="23">
        <f t="shared" si="5"/>
        <v>195216</v>
      </c>
      <c r="J70" s="9">
        <f t="shared" si="6"/>
        <v>39984</v>
      </c>
      <c r="K70" s="4" t="str">
        <f t="shared" si="7"/>
        <v>Low Profit</v>
      </c>
    </row>
    <row r="71" spans="1:11" x14ac:dyDescent="0.3">
      <c r="A71" s="10">
        <v>170</v>
      </c>
      <c r="B71" s="10" t="s">
        <v>89</v>
      </c>
      <c r="C71" s="10" t="s">
        <v>5</v>
      </c>
      <c r="D71" s="10">
        <v>16</v>
      </c>
      <c r="E71" s="10">
        <v>851</v>
      </c>
      <c r="F71" s="11">
        <v>350</v>
      </c>
      <c r="G71" s="11">
        <f t="shared" si="4"/>
        <v>297850</v>
      </c>
      <c r="H71" s="10">
        <v>202303</v>
      </c>
      <c r="I71" s="23">
        <f t="shared" si="5"/>
        <v>247215.5</v>
      </c>
      <c r="J71" s="9">
        <f t="shared" si="6"/>
        <v>50634.5</v>
      </c>
      <c r="K71" s="4" t="str">
        <f t="shared" si="7"/>
        <v>Low Profit</v>
      </c>
    </row>
    <row r="72" spans="1:11" x14ac:dyDescent="0.3">
      <c r="A72" s="10">
        <v>171</v>
      </c>
      <c r="B72" s="10" t="s">
        <v>90</v>
      </c>
      <c r="C72" s="10" t="s">
        <v>9</v>
      </c>
      <c r="D72" s="10">
        <v>17</v>
      </c>
      <c r="E72" s="10">
        <v>425</v>
      </c>
      <c r="F72" s="11">
        <v>270</v>
      </c>
      <c r="G72" s="11">
        <f t="shared" si="4"/>
        <v>114750</v>
      </c>
      <c r="H72" s="10">
        <v>202304</v>
      </c>
      <c r="I72" s="23">
        <f t="shared" si="5"/>
        <v>95242.5</v>
      </c>
      <c r="J72" s="9">
        <f t="shared" si="6"/>
        <v>19507.5</v>
      </c>
      <c r="K72" s="4" t="str">
        <f t="shared" si="7"/>
        <v>Low Profit</v>
      </c>
    </row>
    <row r="73" spans="1:11" x14ac:dyDescent="0.3">
      <c r="A73" s="10">
        <v>172</v>
      </c>
      <c r="B73" s="10" t="s">
        <v>91</v>
      </c>
      <c r="C73" s="10" t="s">
        <v>15</v>
      </c>
      <c r="D73" s="10">
        <v>18</v>
      </c>
      <c r="E73" s="10">
        <v>294</v>
      </c>
      <c r="F73" s="11">
        <v>250</v>
      </c>
      <c r="G73" s="11">
        <f t="shared" si="4"/>
        <v>73500</v>
      </c>
      <c r="H73" s="10">
        <v>202304</v>
      </c>
      <c r="I73" s="23">
        <f t="shared" si="5"/>
        <v>61005</v>
      </c>
      <c r="J73" s="9">
        <f t="shared" si="6"/>
        <v>12495</v>
      </c>
      <c r="K73" s="4" t="str">
        <f t="shared" si="7"/>
        <v>Low Profit</v>
      </c>
    </row>
    <row r="74" spans="1:11" x14ac:dyDescent="0.3">
      <c r="A74" s="10">
        <v>173</v>
      </c>
      <c r="B74" s="10" t="s">
        <v>92</v>
      </c>
      <c r="C74" s="10" t="s">
        <v>16</v>
      </c>
      <c r="D74" s="10">
        <v>19</v>
      </c>
      <c r="E74" s="10">
        <v>383</v>
      </c>
      <c r="F74" s="11">
        <v>2300</v>
      </c>
      <c r="G74" s="11">
        <f t="shared" si="4"/>
        <v>880900</v>
      </c>
      <c r="H74" s="10">
        <v>202304</v>
      </c>
      <c r="I74" s="23">
        <f t="shared" si="5"/>
        <v>731147</v>
      </c>
      <c r="J74" s="9">
        <f t="shared" si="6"/>
        <v>149753</v>
      </c>
      <c r="K74" s="4" t="str">
        <f t="shared" si="7"/>
        <v>Medium Low Profit</v>
      </c>
    </row>
    <row r="75" spans="1:11" x14ac:dyDescent="0.3">
      <c r="A75" s="10">
        <v>174</v>
      </c>
      <c r="B75" s="10" t="s">
        <v>93</v>
      </c>
      <c r="C75" s="10" t="s">
        <v>8</v>
      </c>
      <c r="D75" s="10">
        <v>20</v>
      </c>
      <c r="E75" s="10">
        <v>298</v>
      </c>
      <c r="F75" s="11">
        <v>6800</v>
      </c>
      <c r="G75" s="11">
        <f t="shared" si="4"/>
        <v>2026400</v>
      </c>
      <c r="H75" s="10">
        <v>202304</v>
      </c>
      <c r="I75" s="23">
        <f t="shared" si="5"/>
        <v>1681912</v>
      </c>
      <c r="J75" s="9">
        <f t="shared" si="6"/>
        <v>344488</v>
      </c>
      <c r="K75" s="4" t="str">
        <f t="shared" si="7"/>
        <v>Medium High Profit</v>
      </c>
    </row>
    <row r="76" spans="1:11" x14ac:dyDescent="0.3">
      <c r="A76" s="10">
        <v>175</v>
      </c>
      <c r="B76" s="10" t="s">
        <v>94</v>
      </c>
      <c r="C76" s="10" t="s">
        <v>12</v>
      </c>
      <c r="D76" s="10">
        <v>10</v>
      </c>
      <c r="E76" s="10">
        <v>283</v>
      </c>
      <c r="F76" s="11">
        <v>900</v>
      </c>
      <c r="G76" s="11">
        <f t="shared" si="4"/>
        <v>254700</v>
      </c>
      <c r="H76" s="10">
        <v>202305</v>
      </c>
      <c r="I76" s="23">
        <f t="shared" si="5"/>
        <v>211401</v>
      </c>
      <c r="J76" s="9">
        <f t="shared" si="6"/>
        <v>43299</v>
      </c>
      <c r="K76" s="4" t="str">
        <f t="shared" si="7"/>
        <v>Low Profit</v>
      </c>
    </row>
    <row r="77" spans="1:11" x14ac:dyDescent="0.3">
      <c r="A77" s="10">
        <v>176</v>
      </c>
      <c r="B77" s="10" t="s">
        <v>95</v>
      </c>
      <c r="C77" s="10" t="s">
        <v>7</v>
      </c>
      <c r="D77" s="10">
        <v>11</v>
      </c>
      <c r="E77" s="10">
        <v>593</v>
      </c>
      <c r="F77" s="11">
        <v>1200</v>
      </c>
      <c r="G77" s="11">
        <f t="shared" si="4"/>
        <v>711600</v>
      </c>
      <c r="H77" s="10">
        <v>202305</v>
      </c>
      <c r="I77" s="23">
        <f t="shared" si="5"/>
        <v>590628</v>
      </c>
      <c r="J77" s="9">
        <f t="shared" si="6"/>
        <v>120972</v>
      </c>
      <c r="K77" s="4" t="str">
        <f t="shared" si="7"/>
        <v>Medium Low Profit</v>
      </c>
    </row>
    <row r="78" spans="1:11" x14ac:dyDescent="0.3">
      <c r="A78" s="10">
        <v>177</v>
      </c>
      <c r="B78" s="10" t="s">
        <v>96</v>
      </c>
      <c r="C78" s="10" t="s">
        <v>6</v>
      </c>
      <c r="D78" s="10">
        <v>12</v>
      </c>
      <c r="E78" s="10">
        <v>296</v>
      </c>
      <c r="F78" s="11">
        <v>6600</v>
      </c>
      <c r="G78" s="11">
        <f t="shared" si="4"/>
        <v>1953600</v>
      </c>
      <c r="H78" s="10">
        <v>202305</v>
      </c>
      <c r="I78" s="23">
        <f t="shared" si="5"/>
        <v>1621488</v>
      </c>
      <c r="J78" s="9">
        <f t="shared" si="6"/>
        <v>332112</v>
      </c>
      <c r="K78" s="4" t="str">
        <f t="shared" si="7"/>
        <v>Medium High Profit</v>
      </c>
    </row>
    <row r="79" spans="1:11" x14ac:dyDescent="0.3">
      <c r="A79" s="10">
        <v>178</v>
      </c>
      <c r="B79" s="10" t="s">
        <v>97</v>
      </c>
      <c r="C79" s="10" t="s">
        <v>6</v>
      </c>
      <c r="D79" s="10">
        <v>13</v>
      </c>
      <c r="E79" s="10">
        <v>519</v>
      </c>
      <c r="F79" s="11">
        <v>70</v>
      </c>
      <c r="G79" s="11">
        <f t="shared" si="4"/>
        <v>36330</v>
      </c>
      <c r="H79" s="10">
        <v>202305</v>
      </c>
      <c r="I79" s="23">
        <f t="shared" si="5"/>
        <v>30153.899999999998</v>
      </c>
      <c r="J79" s="9">
        <f t="shared" si="6"/>
        <v>6176.1000000000022</v>
      </c>
      <c r="K79" s="4" t="str">
        <f t="shared" si="7"/>
        <v>Low Profit</v>
      </c>
    </row>
    <row r="80" spans="1:11" x14ac:dyDescent="0.3">
      <c r="A80" s="10">
        <v>179</v>
      </c>
      <c r="B80" s="10" t="s">
        <v>98</v>
      </c>
      <c r="C80" s="10" t="s">
        <v>5</v>
      </c>
      <c r="D80" s="10">
        <v>10</v>
      </c>
      <c r="E80" s="10">
        <v>800</v>
      </c>
      <c r="F80" s="11">
        <v>900</v>
      </c>
      <c r="G80" s="11">
        <f t="shared" si="4"/>
        <v>720000</v>
      </c>
      <c r="H80" s="10">
        <v>202306</v>
      </c>
      <c r="I80" s="23">
        <f t="shared" si="5"/>
        <v>597600</v>
      </c>
      <c r="J80" s="9">
        <f t="shared" si="6"/>
        <v>122400</v>
      </c>
      <c r="K80" s="4" t="str">
        <f t="shared" si="7"/>
        <v>Medium Low Profit</v>
      </c>
    </row>
    <row r="81" spans="1:11" x14ac:dyDescent="0.3">
      <c r="A81" s="10">
        <v>180</v>
      </c>
      <c r="B81" s="10" t="s">
        <v>99</v>
      </c>
      <c r="C81" s="10" t="s">
        <v>6</v>
      </c>
      <c r="D81" s="10">
        <v>11</v>
      </c>
      <c r="E81" s="10">
        <v>104</v>
      </c>
      <c r="F81" s="11">
        <v>1200</v>
      </c>
      <c r="G81" s="11">
        <f t="shared" si="4"/>
        <v>124800</v>
      </c>
      <c r="H81" s="10">
        <v>202306</v>
      </c>
      <c r="I81" s="23">
        <f t="shared" si="5"/>
        <v>103584</v>
      </c>
      <c r="J81" s="9">
        <f t="shared" si="6"/>
        <v>21216</v>
      </c>
      <c r="K81" s="4" t="str">
        <f t="shared" si="7"/>
        <v>Low Profit</v>
      </c>
    </row>
    <row r="82" spans="1:11" x14ac:dyDescent="0.3">
      <c r="A82" s="10">
        <v>181</v>
      </c>
      <c r="B82" s="10" t="s">
        <v>100</v>
      </c>
      <c r="C82" s="10" t="s">
        <v>7</v>
      </c>
      <c r="D82" s="10">
        <v>12</v>
      </c>
      <c r="E82" s="10">
        <v>300</v>
      </c>
      <c r="F82" s="11">
        <v>6600</v>
      </c>
      <c r="G82" s="11">
        <f t="shared" si="4"/>
        <v>1980000</v>
      </c>
      <c r="H82" s="10">
        <v>202306</v>
      </c>
      <c r="I82" s="23">
        <f t="shared" si="5"/>
        <v>1643400</v>
      </c>
      <c r="J82" s="9">
        <f t="shared" si="6"/>
        <v>336600</v>
      </c>
      <c r="K82" s="4" t="str">
        <f t="shared" si="7"/>
        <v>Medium High Profit</v>
      </c>
    </row>
    <row r="83" spans="1:11" x14ac:dyDescent="0.3">
      <c r="A83" s="10">
        <v>182</v>
      </c>
      <c r="B83" s="10" t="s">
        <v>101</v>
      </c>
      <c r="C83" s="10" t="s">
        <v>8</v>
      </c>
      <c r="D83" s="10">
        <v>13</v>
      </c>
      <c r="E83" s="10">
        <v>240</v>
      </c>
      <c r="F83" s="11">
        <v>70</v>
      </c>
      <c r="G83" s="11">
        <f t="shared" si="4"/>
        <v>16800</v>
      </c>
      <c r="H83" s="10">
        <v>202306</v>
      </c>
      <c r="I83" s="23">
        <f t="shared" si="5"/>
        <v>13944</v>
      </c>
      <c r="J83" s="9">
        <f t="shared" si="6"/>
        <v>2856</v>
      </c>
      <c r="K83" s="4" t="str">
        <f t="shared" si="7"/>
        <v>Low Profit</v>
      </c>
    </row>
    <row r="84" spans="1:11" x14ac:dyDescent="0.3">
      <c r="A84" s="10">
        <v>183</v>
      </c>
      <c r="B84" s="10" t="s">
        <v>102</v>
      </c>
      <c r="C84" s="10" t="s">
        <v>9</v>
      </c>
      <c r="D84" s="10">
        <v>14</v>
      </c>
      <c r="E84" s="10">
        <v>321</v>
      </c>
      <c r="F84" s="11">
        <v>1800</v>
      </c>
      <c r="G84" s="11">
        <f t="shared" si="4"/>
        <v>577800</v>
      </c>
      <c r="H84" s="10">
        <v>202307</v>
      </c>
      <c r="I84" s="23">
        <f t="shared" si="5"/>
        <v>479574</v>
      </c>
      <c r="J84" s="9">
        <f t="shared" si="6"/>
        <v>98226</v>
      </c>
      <c r="K84" s="4" t="str">
        <f t="shared" si="7"/>
        <v>Low Profit</v>
      </c>
    </row>
    <row r="85" spans="1:11" x14ac:dyDescent="0.3">
      <c r="A85" s="10">
        <v>184</v>
      </c>
      <c r="B85" s="10" t="s">
        <v>103</v>
      </c>
      <c r="C85" s="10" t="s">
        <v>10</v>
      </c>
      <c r="D85" s="10">
        <v>15</v>
      </c>
      <c r="E85" s="10">
        <v>105</v>
      </c>
      <c r="F85" s="11">
        <v>600</v>
      </c>
      <c r="G85" s="11">
        <f t="shared" si="4"/>
        <v>63000</v>
      </c>
      <c r="H85" s="10">
        <v>202307</v>
      </c>
      <c r="I85" s="23">
        <f t="shared" si="5"/>
        <v>52290</v>
      </c>
      <c r="J85" s="9">
        <f t="shared" si="6"/>
        <v>10710</v>
      </c>
      <c r="K85" s="4" t="str">
        <f t="shared" si="7"/>
        <v>Low Profit</v>
      </c>
    </row>
    <row r="86" spans="1:11" x14ac:dyDescent="0.3">
      <c r="A86" s="10">
        <v>185</v>
      </c>
      <c r="B86" s="10" t="s">
        <v>104</v>
      </c>
      <c r="C86" s="10" t="s">
        <v>11</v>
      </c>
      <c r="D86" s="10">
        <v>16</v>
      </c>
      <c r="E86" s="10">
        <v>503</v>
      </c>
      <c r="F86" s="11">
        <v>350</v>
      </c>
      <c r="G86" s="11">
        <f t="shared" si="4"/>
        <v>176050</v>
      </c>
      <c r="H86" s="10">
        <v>202307</v>
      </c>
      <c r="I86" s="23">
        <f t="shared" si="5"/>
        <v>146121.5</v>
      </c>
      <c r="J86" s="9">
        <f t="shared" si="6"/>
        <v>29928.5</v>
      </c>
      <c r="K86" s="4" t="str">
        <f t="shared" si="7"/>
        <v>Low Profit</v>
      </c>
    </row>
    <row r="87" spans="1:11" x14ac:dyDescent="0.3">
      <c r="A87" s="10">
        <v>186</v>
      </c>
      <c r="B87" s="10" t="s">
        <v>105</v>
      </c>
      <c r="C87" s="10" t="s">
        <v>12</v>
      </c>
      <c r="D87" s="10">
        <v>17</v>
      </c>
      <c r="E87" s="10">
        <v>438</v>
      </c>
      <c r="F87" s="11">
        <v>270</v>
      </c>
      <c r="G87" s="11">
        <f t="shared" si="4"/>
        <v>118260</v>
      </c>
      <c r="H87" s="10">
        <v>202308</v>
      </c>
      <c r="I87" s="23">
        <f t="shared" si="5"/>
        <v>98155.799999999988</v>
      </c>
      <c r="J87" s="9">
        <f t="shared" si="6"/>
        <v>20104.200000000012</v>
      </c>
      <c r="K87" s="4" t="str">
        <f t="shared" si="7"/>
        <v>Low Profit</v>
      </c>
    </row>
    <row r="88" spans="1:11" x14ac:dyDescent="0.3">
      <c r="A88" s="10">
        <v>187</v>
      </c>
      <c r="B88" s="10" t="s">
        <v>106</v>
      </c>
      <c r="C88" s="10" t="s">
        <v>13</v>
      </c>
      <c r="D88" s="10">
        <v>18</v>
      </c>
      <c r="E88" s="10">
        <v>352</v>
      </c>
      <c r="F88" s="11">
        <v>250</v>
      </c>
      <c r="G88" s="11">
        <f t="shared" si="4"/>
        <v>88000</v>
      </c>
      <c r="H88" s="10">
        <v>202308</v>
      </c>
      <c r="I88" s="23">
        <f t="shared" si="5"/>
        <v>73040</v>
      </c>
      <c r="J88" s="9">
        <f t="shared" si="6"/>
        <v>14960</v>
      </c>
      <c r="K88" s="4" t="str">
        <f t="shared" si="7"/>
        <v>Low Profit</v>
      </c>
    </row>
    <row r="89" spans="1:11" x14ac:dyDescent="0.3">
      <c r="A89" s="10">
        <v>188</v>
      </c>
      <c r="B89" s="10" t="s">
        <v>107</v>
      </c>
      <c r="C89" s="10" t="s">
        <v>5</v>
      </c>
      <c r="D89" s="10">
        <v>19</v>
      </c>
      <c r="E89" s="10">
        <v>678</v>
      </c>
      <c r="F89" s="11">
        <v>2300</v>
      </c>
      <c r="G89" s="11">
        <f t="shared" si="4"/>
        <v>1559400</v>
      </c>
      <c r="H89" s="10">
        <v>202308</v>
      </c>
      <c r="I89" s="23">
        <f t="shared" si="5"/>
        <v>1294302</v>
      </c>
      <c r="J89" s="9">
        <f t="shared" si="6"/>
        <v>265098</v>
      </c>
      <c r="K89" s="4" t="str">
        <f t="shared" si="7"/>
        <v>Medium Low Profit</v>
      </c>
    </row>
    <row r="90" spans="1:11" x14ac:dyDescent="0.3">
      <c r="A90" s="10">
        <v>189</v>
      </c>
      <c r="B90" s="10" t="s">
        <v>108</v>
      </c>
      <c r="C90" s="10" t="s">
        <v>14</v>
      </c>
      <c r="D90" s="10">
        <v>20</v>
      </c>
      <c r="E90" s="10">
        <v>424</v>
      </c>
      <c r="F90" s="11">
        <v>6800</v>
      </c>
      <c r="G90" s="11">
        <f t="shared" si="4"/>
        <v>2883200</v>
      </c>
      <c r="H90" s="10">
        <v>202309</v>
      </c>
      <c r="I90" s="23">
        <f t="shared" si="5"/>
        <v>2393056</v>
      </c>
      <c r="J90" s="9">
        <f t="shared" si="6"/>
        <v>490144</v>
      </c>
      <c r="K90" s="4" t="str">
        <f t="shared" si="7"/>
        <v>Medium High Profit</v>
      </c>
    </row>
    <row r="91" spans="1:11" x14ac:dyDescent="0.3">
      <c r="A91" s="10">
        <v>190</v>
      </c>
      <c r="B91" s="10" t="s">
        <v>109</v>
      </c>
      <c r="C91" s="10" t="s">
        <v>5</v>
      </c>
      <c r="D91" s="10">
        <v>10</v>
      </c>
      <c r="E91" s="10">
        <v>965</v>
      </c>
      <c r="F91" s="11">
        <v>900</v>
      </c>
      <c r="G91" s="11">
        <f t="shared" si="4"/>
        <v>868500</v>
      </c>
      <c r="H91" s="10">
        <v>202309</v>
      </c>
      <c r="I91" s="23">
        <f t="shared" si="5"/>
        <v>720855</v>
      </c>
      <c r="J91" s="9">
        <f t="shared" si="6"/>
        <v>147645</v>
      </c>
      <c r="K91" s="4" t="str">
        <f t="shared" si="7"/>
        <v>Medium Low Profit</v>
      </c>
    </row>
    <row r="92" spans="1:11" x14ac:dyDescent="0.3">
      <c r="A92" s="10">
        <v>191</v>
      </c>
      <c r="B92" s="10" t="s">
        <v>110</v>
      </c>
      <c r="C92" s="10" t="s">
        <v>7</v>
      </c>
      <c r="D92" s="10">
        <v>11</v>
      </c>
      <c r="E92" s="10">
        <v>236</v>
      </c>
      <c r="F92" s="11">
        <v>1200</v>
      </c>
      <c r="G92" s="11">
        <f t="shared" si="4"/>
        <v>283200</v>
      </c>
      <c r="H92" s="10">
        <v>202309</v>
      </c>
      <c r="I92" s="23">
        <f t="shared" si="5"/>
        <v>235056</v>
      </c>
      <c r="J92" s="9">
        <f t="shared" si="6"/>
        <v>48144</v>
      </c>
      <c r="K92" s="4" t="str">
        <f t="shared" si="7"/>
        <v>Low Profit</v>
      </c>
    </row>
    <row r="93" spans="1:11" x14ac:dyDescent="0.3">
      <c r="A93" s="10">
        <v>192</v>
      </c>
      <c r="B93" s="10" t="s">
        <v>33</v>
      </c>
      <c r="C93" s="10" t="s">
        <v>6</v>
      </c>
      <c r="D93" s="10">
        <v>12</v>
      </c>
      <c r="E93" s="10">
        <v>463</v>
      </c>
      <c r="F93" s="11">
        <v>6600</v>
      </c>
      <c r="G93" s="11">
        <f t="shared" si="4"/>
        <v>3055800</v>
      </c>
      <c r="H93" s="10">
        <v>202309</v>
      </c>
      <c r="I93" s="23">
        <f t="shared" si="5"/>
        <v>2536314</v>
      </c>
      <c r="J93" s="9">
        <f t="shared" si="6"/>
        <v>519486</v>
      </c>
      <c r="K93" s="4" t="str">
        <f t="shared" si="7"/>
        <v>High Profit</v>
      </c>
    </row>
    <row r="94" spans="1:11" x14ac:dyDescent="0.3">
      <c r="A94" s="10">
        <v>193</v>
      </c>
      <c r="B94" s="10" t="s">
        <v>111</v>
      </c>
      <c r="C94" s="10" t="s">
        <v>13</v>
      </c>
      <c r="D94" s="10">
        <v>13</v>
      </c>
      <c r="E94" s="10">
        <v>198</v>
      </c>
      <c r="F94" s="11">
        <v>70</v>
      </c>
      <c r="G94" s="11">
        <f t="shared" si="4"/>
        <v>13860</v>
      </c>
      <c r="H94" s="10">
        <v>202310</v>
      </c>
      <c r="I94" s="23">
        <f t="shared" si="5"/>
        <v>11503.8</v>
      </c>
      <c r="J94" s="9">
        <f t="shared" si="6"/>
        <v>2356.2000000000007</v>
      </c>
      <c r="K94" s="4" t="str">
        <f t="shared" si="7"/>
        <v>Low Profit</v>
      </c>
    </row>
    <row r="95" spans="1:11" x14ac:dyDescent="0.3">
      <c r="A95" s="10">
        <v>194</v>
      </c>
      <c r="B95" s="10" t="s">
        <v>112</v>
      </c>
      <c r="C95" s="10" t="s">
        <v>12</v>
      </c>
      <c r="D95" s="10">
        <v>14</v>
      </c>
      <c r="E95" s="10">
        <v>673</v>
      </c>
      <c r="F95" s="11">
        <v>1800</v>
      </c>
      <c r="G95" s="11">
        <f t="shared" si="4"/>
        <v>1211400</v>
      </c>
      <c r="H95" s="10">
        <v>202310</v>
      </c>
      <c r="I95" s="23">
        <f t="shared" si="5"/>
        <v>1005462</v>
      </c>
      <c r="J95" s="9">
        <f t="shared" si="6"/>
        <v>205938</v>
      </c>
      <c r="K95" s="4" t="str">
        <f t="shared" si="7"/>
        <v>Medium Low Profit</v>
      </c>
    </row>
    <row r="96" spans="1:11" x14ac:dyDescent="0.3">
      <c r="A96" s="10">
        <v>195</v>
      </c>
      <c r="B96" s="10" t="s">
        <v>113</v>
      </c>
      <c r="C96" s="10" t="s">
        <v>11</v>
      </c>
      <c r="D96" s="10">
        <v>15</v>
      </c>
      <c r="E96" s="10">
        <v>392</v>
      </c>
      <c r="F96" s="11">
        <v>600</v>
      </c>
      <c r="G96" s="11">
        <f t="shared" si="4"/>
        <v>235200</v>
      </c>
      <c r="H96" s="10">
        <v>202310</v>
      </c>
      <c r="I96" s="23">
        <f t="shared" si="5"/>
        <v>195216</v>
      </c>
      <c r="J96" s="9">
        <f t="shared" si="6"/>
        <v>39984</v>
      </c>
      <c r="K96" s="4" t="str">
        <f t="shared" si="7"/>
        <v>Low Profit</v>
      </c>
    </row>
    <row r="97" spans="1:11" x14ac:dyDescent="0.3">
      <c r="A97" s="10">
        <v>196</v>
      </c>
      <c r="B97" s="10" t="s">
        <v>114</v>
      </c>
      <c r="C97" s="10" t="s">
        <v>5</v>
      </c>
      <c r="D97" s="10">
        <v>16</v>
      </c>
      <c r="E97" s="10">
        <v>851</v>
      </c>
      <c r="F97" s="11">
        <v>350</v>
      </c>
      <c r="G97" s="11">
        <f t="shared" si="4"/>
        <v>297850</v>
      </c>
      <c r="H97" s="10">
        <v>202310</v>
      </c>
      <c r="I97" s="23">
        <f t="shared" si="5"/>
        <v>247215.5</v>
      </c>
      <c r="J97" s="9">
        <f t="shared" si="6"/>
        <v>50634.5</v>
      </c>
      <c r="K97" s="4" t="str">
        <f t="shared" si="7"/>
        <v>Low Profit</v>
      </c>
    </row>
    <row r="98" spans="1:11" x14ac:dyDescent="0.3">
      <c r="A98" s="10">
        <v>197</v>
      </c>
      <c r="B98" s="10" t="s">
        <v>115</v>
      </c>
      <c r="C98" s="10" t="s">
        <v>9</v>
      </c>
      <c r="D98" s="10">
        <v>17</v>
      </c>
      <c r="E98" s="10">
        <v>425</v>
      </c>
      <c r="F98" s="11">
        <v>270</v>
      </c>
      <c r="G98" s="11">
        <f t="shared" si="4"/>
        <v>114750</v>
      </c>
      <c r="H98" s="10">
        <v>202311</v>
      </c>
      <c r="I98" s="23">
        <f t="shared" si="5"/>
        <v>95242.5</v>
      </c>
      <c r="J98" s="9">
        <f t="shared" si="6"/>
        <v>19507.5</v>
      </c>
      <c r="K98" s="4" t="str">
        <f t="shared" si="7"/>
        <v>Low Profit</v>
      </c>
    </row>
    <row r="99" spans="1:11" x14ac:dyDescent="0.3">
      <c r="A99" s="10">
        <v>198</v>
      </c>
      <c r="B99" s="10" t="s">
        <v>116</v>
      </c>
      <c r="C99" s="10" t="s">
        <v>15</v>
      </c>
      <c r="D99" s="10">
        <v>18</v>
      </c>
      <c r="E99" s="10">
        <v>294</v>
      </c>
      <c r="F99" s="11">
        <v>250</v>
      </c>
      <c r="G99" s="11">
        <f t="shared" si="4"/>
        <v>73500</v>
      </c>
      <c r="H99" s="10">
        <v>202311</v>
      </c>
      <c r="I99" s="23">
        <f t="shared" si="5"/>
        <v>61005</v>
      </c>
      <c r="J99" s="9">
        <f t="shared" si="6"/>
        <v>12495</v>
      </c>
      <c r="K99" s="4" t="str">
        <f t="shared" si="7"/>
        <v>Low Profit</v>
      </c>
    </row>
    <row r="100" spans="1:11" x14ac:dyDescent="0.3">
      <c r="A100" s="10">
        <v>199</v>
      </c>
      <c r="B100" s="10" t="s">
        <v>117</v>
      </c>
      <c r="C100" s="10" t="s">
        <v>16</v>
      </c>
      <c r="D100" s="10">
        <v>19</v>
      </c>
      <c r="E100" s="10">
        <v>383</v>
      </c>
      <c r="F100" s="11">
        <v>2300</v>
      </c>
      <c r="G100" s="11">
        <f t="shared" si="4"/>
        <v>880900</v>
      </c>
      <c r="H100" s="10">
        <v>202311</v>
      </c>
      <c r="I100" s="23">
        <f t="shared" si="5"/>
        <v>731147</v>
      </c>
      <c r="J100" s="9">
        <f t="shared" si="6"/>
        <v>149753</v>
      </c>
      <c r="K100" s="4" t="str">
        <f t="shared" si="7"/>
        <v>Medium Low Profit</v>
      </c>
    </row>
    <row r="101" spans="1:11" x14ac:dyDescent="0.3">
      <c r="A101" s="10">
        <v>200</v>
      </c>
      <c r="B101" s="10" t="s">
        <v>118</v>
      </c>
      <c r="C101" s="10" t="s">
        <v>8</v>
      </c>
      <c r="D101" s="10">
        <v>20</v>
      </c>
      <c r="E101" s="10">
        <v>298</v>
      </c>
      <c r="F101" s="11">
        <v>6800</v>
      </c>
      <c r="G101" s="11">
        <f t="shared" si="4"/>
        <v>2026400</v>
      </c>
      <c r="H101" s="10">
        <v>202311</v>
      </c>
      <c r="I101" s="23">
        <f t="shared" si="5"/>
        <v>1681912</v>
      </c>
      <c r="J101" s="9">
        <f t="shared" si="6"/>
        <v>344488</v>
      </c>
      <c r="K101" s="4" t="str">
        <f t="shared" si="7"/>
        <v>Medium High Profit</v>
      </c>
    </row>
    <row r="102" spans="1:11" x14ac:dyDescent="0.3">
      <c r="A102" s="10">
        <v>201</v>
      </c>
      <c r="B102" s="10" t="s">
        <v>119</v>
      </c>
      <c r="C102" s="10" t="s">
        <v>12</v>
      </c>
      <c r="D102" s="10">
        <v>10</v>
      </c>
      <c r="E102" s="10">
        <v>283</v>
      </c>
      <c r="F102" s="11">
        <v>900</v>
      </c>
      <c r="G102" s="11">
        <f t="shared" si="4"/>
        <v>254700</v>
      </c>
      <c r="H102" s="10">
        <v>202312</v>
      </c>
      <c r="I102" s="23">
        <f t="shared" si="5"/>
        <v>211401</v>
      </c>
      <c r="J102" s="9">
        <f t="shared" si="6"/>
        <v>43299</v>
      </c>
      <c r="K102" s="4" t="str">
        <f t="shared" si="7"/>
        <v>Low Profit</v>
      </c>
    </row>
    <row r="103" spans="1:11" x14ac:dyDescent="0.3">
      <c r="A103" s="10">
        <v>202</v>
      </c>
      <c r="B103" s="10" t="s">
        <v>120</v>
      </c>
      <c r="C103" s="10" t="s">
        <v>7</v>
      </c>
      <c r="D103" s="10">
        <v>11</v>
      </c>
      <c r="E103" s="10">
        <v>593</v>
      </c>
      <c r="F103" s="11">
        <v>1200</v>
      </c>
      <c r="G103" s="11">
        <f t="shared" si="4"/>
        <v>711600</v>
      </c>
      <c r="H103" s="10">
        <v>202312</v>
      </c>
      <c r="I103" s="23">
        <f t="shared" si="5"/>
        <v>590628</v>
      </c>
      <c r="J103" s="9">
        <f t="shared" si="6"/>
        <v>120972</v>
      </c>
      <c r="K103" s="4" t="str">
        <f t="shared" si="7"/>
        <v>Medium Low Profit</v>
      </c>
    </row>
    <row r="104" spans="1:11" x14ac:dyDescent="0.3">
      <c r="A104" s="10">
        <v>203</v>
      </c>
      <c r="B104" s="10" t="s">
        <v>121</v>
      </c>
      <c r="C104" s="10" t="s">
        <v>6</v>
      </c>
      <c r="D104" s="10">
        <v>12</v>
      </c>
      <c r="E104" s="10">
        <v>296</v>
      </c>
      <c r="F104" s="11">
        <v>6600</v>
      </c>
      <c r="G104" s="11">
        <f t="shared" si="4"/>
        <v>1953600</v>
      </c>
      <c r="H104" s="10">
        <v>202312</v>
      </c>
      <c r="I104" s="23">
        <f t="shared" si="5"/>
        <v>1621488</v>
      </c>
      <c r="J104" s="9">
        <f t="shared" si="6"/>
        <v>332112</v>
      </c>
      <c r="K104" s="4" t="str">
        <f t="shared" si="7"/>
        <v>Medium High Profit</v>
      </c>
    </row>
    <row r="105" spans="1:11" x14ac:dyDescent="0.3">
      <c r="A105" s="10">
        <v>204</v>
      </c>
      <c r="B105" s="10" t="s">
        <v>122</v>
      </c>
      <c r="C105" s="10" t="s">
        <v>6</v>
      </c>
      <c r="D105" s="10">
        <v>13</v>
      </c>
      <c r="E105" s="10">
        <v>519</v>
      </c>
      <c r="F105" s="11">
        <v>70</v>
      </c>
      <c r="G105" s="11">
        <f t="shared" si="4"/>
        <v>36330</v>
      </c>
      <c r="H105" s="10">
        <v>202312</v>
      </c>
      <c r="I105" s="23">
        <f t="shared" si="5"/>
        <v>30153.899999999998</v>
      </c>
      <c r="J105" s="9">
        <f t="shared" si="6"/>
        <v>6176.1000000000022</v>
      </c>
      <c r="K105" s="4" t="str">
        <f t="shared" si="7"/>
        <v>Low Profit</v>
      </c>
    </row>
    <row r="106" spans="1:11" x14ac:dyDescent="0.3">
      <c r="F106" s="2"/>
      <c r="G106" s="2"/>
    </row>
    <row r="107" spans="1:11" x14ac:dyDescent="0.3">
      <c r="F107" s="2"/>
      <c r="G107" s="2"/>
    </row>
    <row r="108" spans="1:11" x14ac:dyDescent="0.3">
      <c r="F108" s="2"/>
      <c r="G108" s="2"/>
    </row>
    <row r="109" spans="1:11" x14ac:dyDescent="0.3">
      <c r="F109" s="2"/>
      <c r="G109" s="2"/>
    </row>
    <row r="110" spans="1:11" x14ac:dyDescent="0.3">
      <c r="F110" s="2"/>
      <c r="G110" s="2"/>
    </row>
    <row r="111" spans="1:11" x14ac:dyDescent="0.3">
      <c r="F111" s="2"/>
      <c r="G111" s="2"/>
    </row>
    <row r="112" spans="1:11" x14ac:dyDescent="0.3">
      <c r="F112" s="2"/>
      <c r="G112" s="2"/>
    </row>
  </sheetData>
  <mergeCells count="1">
    <mergeCell ref="M21:S21"/>
  </mergeCells>
  <dataValidations count="1">
    <dataValidation type="list" allowBlank="1" showInputMessage="1" showErrorMessage="1" sqref="N19" xr:uid="{B8ED8B44-E9D1-40A9-A6D9-FAFE5115C3BF}">
      <formula1>$A$2:$A$105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2C27-DEC2-4FF6-8023-15D34BCC9521}">
  <dimension ref="A1:E12"/>
  <sheetViews>
    <sheetView tabSelected="1" workbookViewId="0">
      <selection activeCell="J7" sqref="J7"/>
    </sheetView>
  </sheetViews>
  <sheetFormatPr defaultRowHeight="14.4" x14ac:dyDescent="0.3"/>
  <cols>
    <col min="1" max="1" width="22.5546875" bestFit="1" customWidth="1"/>
    <col min="2" max="2" width="18" bestFit="1" customWidth="1"/>
    <col min="3" max="3" width="11.88671875" bestFit="1" customWidth="1"/>
    <col min="4" max="4" width="13.109375" bestFit="1" customWidth="1"/>
    <col min="5" max="5" width="12.44140625" bestFit="1" customWidth="1"/>
  </cols>
  <sheetData>
    <row r="1" spans="1:5" ht="15.6" x14ac:dyDescent="0.3">
      <c r="A1" s="13" t="s">
        <v>126</v>
      </c>
      <c r="B1" s="13" t="s">
        <v>127</v>
      </c>
      <c r="C1" s="13" t="s">
        <v>128</v>
      </c>
      <c r="D1" s="13" t="s">
        <v>129</v>
      </c>
      <c r="E1" s="13" t="s">
        <v>144</v>
      </c>
    </row>
    <row r="2" spans="1:5" ht="15.6" x14ac:dyDescent="0.3">
      <c r="A2" s="14" t="s">
        <v>130</v>
      </c>
      <c r="B2" s="15">
        <v>4478.5714285721424</v>
      </c>
      <c r="C2" s="15">
        <v>2000</v>
      </c>
      <c r="D2" s="15">
        <v>478.57142857214262</v>
      </c>
      <c r="E2" s="16">
        <f>SUM(B2:D2)</f>
        <v>6957.1428571442848</v>
      </c>
    </row>
    <row r="3" spans="1:5" ht="15.6" x14ac:dyDescent="0.3">
      <c r="A3" s="14" t="s">
        <v>131</v>
      </c>
      <c r="B3" s="15">
        <v>5578.5714285721424</v>
      </c>
      <c r="C3" s="15">
        <v>2000</v>
      </c>
      <c r="D3" s="15">
        <v>878.57142857214262</v>
      </c>
      <c r="E3" s="16">
        <f t="shared" ref="E3:E10" si="0">SUM(B3:D3)</f>
        <v>8457.1428571442848</v>
      </c>
    </row>
    <row r="4" spans="1:5" ht="15.6" x14ac:dyDescent="0.3">
      <c r="A4" s="14" t="s">
        <v>132</v>
      </c>
      <c r="B4" s="15">
        <v>3478.5714285721428</v>
      </c>
      <c r="C4" s="15">
        <v>2000</v>
      </c>
      <c r="D4" s="15">
        <v>1000</v>
      </c>
      <c r="E4" s="16">
        <f t="shared" si="0"/>
        <v>6478.5714285721424</v>
      </c>
    </row>
    <row r="5" spans="1:5" ht="15.6" x14ac:dyDescent="0.3">
      <c r="A5" s="14" t="s">
        <v>133</v>
      </c>
      <c r="B5" s="15">
        <v>4278.5714285721424</v>
      </c>
      <c r="C5" s="15">
        <v>2000</v>
      </c>
      <c r="D5" s="15">
        <v>778.57142857214262</v>
      </c>
      <c r="E5" s="16">
        <f t="shared" si="0"/>
        <v>7057.1428571442848</v>
      </c>
    </row>
    <row r="6" spans="1:5" ht="15.6" x14ac:dyDescent="0.3">
      <c r="A6" s="14" t="s">
        <v>134</v>
      </c>
      <c r="B6" s="15">
        <v>1278.5714285721426</v>
      </c>
      <c r="C6" s="15">
        <v>2000</v>
      </c>
      <c r="D6" s="15">
        <v>678.57142857214262</v>
      </c>
      <c r="E6" s="16">
        <f t="shared" si="0"/>
        <v>3957.1428571442848</v>
      </c>
    </row>
    <row r="7" spans="1:5" ht="15.6" x14ac:dyDescent="0.3">
      <c r="A7" s="14" t="s">
        <v>135</v>
      </c>
      <c r="B7" s="15">
        <v>1178.5714285721426</v>
      </c>
      <c r="C7" s="15">
        <v>2000</v>
      </c>
      <c r="D7" s="15">
        <v>578.57142857214262</v>
      </c>
      <c r="E7" s="16">
        <f t="shared" si="0"/>
        <v>3757.1428571442848</v>
      </c>
    </row>
    <row r="8" spans="1:5" ht="15.6" x14ac:dyDescent="0.3">
      <c r="A8" s="14" t="s">
        <v>136</v>
      </c>
      <c r="B8" s="15">
        <v>6778.5714285721424</v>
      </c>
      <c r="C8" s="15">
        <v>2000</v>
      </c>
      <c r="D8" s="15">
        <v>478.57142857214262</v>
      </c>
      <c r="E8" s="16">
        <f t="shared" si="0"/>
        <v>9257.1428571442848</v>
      </c>
    </row>
    <row r="9" spans="1:5" ht="15.6" x14ac:dyDescent="0.3">
      <c r="A9" s="14" t="s">
        <v>137</v>
      </c>
      <c r="B9" s="15">
        <v>7000</v>
      </c>
      <c r="C9" s="15">
        <v>2000</v>
      </c>
      <c r="D9" s="15">
        <v>600</v>
      </c>
      <c r="E9" s="16">
        <f t="shared" si="0"/>
        <v>9600</v>
      </c>
    </row>
    <row r="10" spans="1:5" ht="15.6" x14ac:dyDescent="0.3">
      <c r="A10" s="17" t="s">
        <v>138</v>
      </c>
      <c r="B10" s="18">
        <v>6478.5714285721424</v>
      </c>
      <c r="C10" s="18">
        <v>2000</v>
      </c>
      <c r="D10" s="18">
        <v>1000</v>
      </c>
      <c r="E10" s="16">
        <f t="shared" si="0"/>
        <v>9478.5714285721424</v>
      </c>
    </row>
    <row r="11" spans="1:5" ht="16.2" thickBot="1" x14ac:dyDescent="0.35">
      <c r="A11" s="14"/>
      <c r="B11" s="19"/>
      <c r="C11" s="19"/>
      <c r="D11" s="20" t="s">
        <v>143</v>
      </c>
      <c r="E11" s="21">
        <f>SUM(E2:E10)</f>
        <v>65000.00000000999</v>
      </c>
    </row>
    <row r="12" spans="1:5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</dc:creator>
  <cp:lastModifiedBy>Anyway Chare</cp:lastModifiedBy>
  <dcterms:created xsi:type="dcterms:W3CDTF">2021-05-03T05:05:30Z</dcterms:created>
  <dcterms:modified xsi:type="dcterms:W3CDTF">2025-08-12T13:04:47Z</dcterms:modified>
</cp:coreProperties>
</file>